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mulatRAppUni\grainFactoryLib\grains\"/>
    </mc:Choice>
  </mc:AlternateContent>
  <xr:revisionPtr revIDLastSave="0" documentId="13_ncr:1_{A101CCD8-0705-446C-BE23-60905FF2A8D9}" xr6:coauthVersionLast="47" xr6:coauthVersionMax="47" xr10:uidLastSave="{00000000-0000-0000-0000-000000000000}"/>
  <bookViews>
    <workbookView xWindow="23010" yWindow="3960" windowWidth="19695" windowHeight="15435" xr2:uid="{523DCC95-4B32-40D8-9CD6-AAF18BF7CA0F}"/>
  </bookViews>
  <sheets>
    <sheet name="Sheet1" sheetId="1" r:id="rId1"/>
  </sheets>
  <definedNames>
    <definedName name="_xlnm._FilterDatabase" localSheetId="0" hidden="1">Sheet1!$A$1:$H$631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1" i="1" l="1"/>
  <c r="H295" i="1"/>
  <c r="H296" i="1"/>
  <c r="H222" i="1"/>
  <c r="F2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34" i="1"/>
  <c r="H223" i="1"/>
  <c r="H224" i="1"/>
  <c r="H225" i="1"/>
  <c r="H226" i="1"/>
  <c r="H227" i="1"/>
  <c r="H228" i="1"/>
  <c r="H229" i="1"/>
  <c r="H230" i="1"/>
  <c r="H231" i="1"/>
  <c r="H232" i="1"/>
  <c r="H233" i="1"/>
  <c r="H630" i="1"/>
  <c r="H235" i="1"/>
  <c r="H236" i="1"/>
  <c r="H237" i="1"/>
  <c r="H238" i="1"/>
  <c r="H239" i="1"/>
  <c r="H240" i="1"/>
  <c r="H241" i="1"/>
  <c r="H242" i="1"/>
  <c r="H243" i="1"/>
  <c r="H244" i="1"/>
  <c r="H293" i="1"/>
  <c r="H246" i="1"/>
  <c r="H310" i="1"/>
  <c r="H248" i="1"/>
  <c r="H249" i="1"/>
  <c r="H250" i="1"/>
  <c r="H251" i="1"/>
  <c r="H252" i="1"/>
  <c r="H291" i="1"/>
  <c r="H254" i="1"/>
  <c r="H255" i="1"/>
  <c r="H256" i="1"/>
  <c r="H257" i="1"/>
  <c r="H258" i="1"/>
  <c r="H259" i="1"/>
  <c r="H260" i="1"/>
  <c r="H261" i="1"/>
  <c r="H262" i="1"/>
  <c r="H299" i="1"/>
  <c r="H264" i="1"/>
  <c r="H265" i="1"/>
  <c r="H247" i="1"/>
  <c r="H267" i="1"/>
  <c r="H288" i="1"/>
  <c r="H269" i="1"/>
  <c r="H270" i="1"/>
  <c r="H271" i="1"/>
  <c r="H272" i="1"/>
  <c r="H273" i="1"/>
  <c r="H274" i="1"/>
  <c r="H275" i="1"/>
  <c r="H276" i="1"/>
  <c r="H277" i="1"/>
  <c r="H245" i="1"/>
  <c r="H279" i="1"/>
  <c r="H280" i="1"/>
  <c r="H281" i="1"/>
  <c r="H282" i="1"/>
  <c r="H283" i="1"/>
  <c r="H284" i="1"/>
  <c r="H285" i="1"/>
  <c r="H286" i="1"/>
  <c r="H287" i="1"/>
  <c r="H253" i="1"/>
  <c r="H289" i="1"/>
  <c r="H290" i="1"/>
  <c r="H266" i="1"/>
  <c r="H292" i="1"/>
  <c r="H278" i="1"/>
  <c r="H294" i="1"/>
  <c r="H297" i="1"/>
  <c r="H298" i="1"/>
  <c r="H263" i="1"/>
  <c r="H300" i="1"/>
  <c r="H301" i="1"/>
  <c r="H302" i="1"/>
  <c r="H303" i="1"/>
  <c r="H304" i="1"/>
  <c r="H305" i="1"/>
  <c r="H306" i="1"/>
  <c r="H307" i="1"/>
  <c r="H308" i="1"/>
  <c r="H309" i="1"/>
  <c r="H268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2" i="1"/>
  <c r="F629" i="1"/>
  <c r="F2" i="1"/>
  <c r="F3" i="1"/>
  <c r="A4" i="1"/>
  <c r="C4" i="1" s="1"/>
  <c r="F4" i="1"/>
  <c r="A5" i="1"/>
  <c r="C5" i="1" s="1"/>
  <c r="F5" i="1"/>
  <c r="A6" i="1"/>
  <c r="C6" i="1" s="1"/>
  <c r="F6" i="1"/>
  <c r="A7" i="1"/>
  <c r="C7" i="1" s="1"/>
  <c r="F7" i="1"/>
  <c r="A8" i="1"/>
  <c r="C8" i="1" s="1"/>
  <c r="F8" i="1"/>
  <c r="A9" i="1"/>
  <c r="C9" i="1" s="1"/>
  <c r="F9" i="1"/>
  <c r="A10" i="1"/>
  <c r="C10" i="1" s="1"/>
  <c r="F10" i="1"/>
  <c r="A11" i="1"/>
  <c r="C11" i="1" s="1"/>
  <c r="F11" i="1"/>
  <c r="A12" i="1"/>
  <c r="C12" i="1" s="1"/>
  <c r="F12" i="1"/>
  <c r="A13" i="1"/>
  <c r="C13" i="1" s="1"/>
  <c r="F13" i="1"/>
  <c r="A14" i="1"/>
  <c r="C14" i="1" s="1"/>
  <c r="F14" i="1"/>
  <c r="A15" i="1"/>
  <c r="C15" i="1" s="1"/>
  <c r="F15" i="1"/>
  <c r="A16" i="1"/>
  <c r="C16" i="1" s="1"/>
  <c r="F16" i="1"/>
  <c r="A17" i="1"/>
  <c r="C17" i="1" s="1"/>
  <c r="F17" i="1"/>
  <c r="A18" i="1"/>
  <c r="C18" i="1" s="1"/>
  <c r="F18" i="1"/>
  <c r="A19" i="1"/>
  <c r="C19" i="1" s="1"/>
  <c r="F19" i="1"/>
  <c r="A20" i="1"/>
  <c r="C20" i="1" s="1"/>
  <c r="F20" i="1"/>
  <c r="A21" i="1"/>
  <c r="C21" i="1" s="1"/>
  <c r="F21" i="1"/>
  <c r="A22" i="1"/>
  <c r="C22" i="1" s="1"/>
  <c r="F22" i="1"/>
  <c r="A23" i="1"/>
  <c r="C23" i="1" s="1"/>
  <c r="F23" i="1"/>
  <c r="A24" i="1"/>
  <c r="C24" i="1" s="1"/>
  <c r="F24" i="1"/>
  <c r="A25" i="1"/>
  <c r="C25" i="1" s="1"/>
  <c r="F25" i="1"/>
  <c r="A26" i="1"/>
  <c r="C26" i="1" s="1"/>
  <c r="F26" i="1"/>
  <c r="A27" i="1"/>
  <c r="C27" i="1" s="1"/>
  <c r="F27" i="1"/>
  <c r="A28" i="1"/>
  <c r="C28" i="1" s="1"/>
  <c r="F28" i="1"/>
  <c r="A29" i="1"/>
  <c r="C29" i="1" s="1"/>
  <c r="F29" i="1"/>
  <c r="A30" i="1"/>
  <c r="C30" i="1" s="1"/>
  <c r="F30" i="1"/>
  <c r="A31" i="1"/>
  <c r="C31" i="1" s="1"/>
  <c r="F31" i="1"/>
  <c r="A32" i="1"/>
  <c r="C32" i="1" s="1"/>
  <c r="F32" i="1"/>
  <c r="A33" i="1"/>
  <c r="C33" i="1" s="1"/>
  <c r="F33" i="1"/>
  <c r="A34" i="1"/>
  <c r="C34" i="1" s="1"/>
  <c r="F34" i="1"/>
  <c r="A35" i="1"/>
  <c r="C35" i="1" s="1"/>
  <c r="F35" i="1"/>
  <c r="A36" i="1"/>
  <c r="C36" i="1" s="1"/>
  <c r="F36" i="1"/>
  <c r="A37" i="1"/>
  <c r="C37" i="1" s="1"/>
  <c r="F37" i="1"/>
  <c r="A38" i="1"/>
  <c r="C38" i="1" s="1"/>
  <c r="F38" i="1"/>
  <c r="A39" i="1"/>
  <c r="C39" i="1" s="1"/>
  <c r="F39" i="1"/>
  <c r="A40" i="1"/>
  <c r="C40" i="1" s="1"/>
  <c r="F40" i="1"/>
  <c r="A41" i="1"/>
  <c r="C41" i="1" s="1"/>
  <c r="F41" i="1"/>
  <c r="A42" i="1"/>
  <c r="C42" i="1" s="1"/>
  <c r="F42" i="1"/>
  <c r="A43" i="1"/>
  <c r="C43" i="1" s="1"/>
  <c r="F43" i="1"/>
  <c r="A44" i="1"/>
  <c r="C44" i="1" s="1"/>
  <c r="F44" i="1"/>
  <c r="A45" i="1"/>
  <c r="C45" i="1" s="1"/>
  <c r="F45" i="1"/>
  <c r="A46" i="1"/>
  <c r="C46" i="1" s="1"/>
  <c r="F46" i="1"/>
  <c r="A47" i="1"/>
  <c r="C47" i="1" s="1"/>
  <c r="F47" i="1"/>
  <c r="A48" i="1"/>
  <c r="C48" i="1" s="1"/>
  <c r="F48" i="1"/>
  <c r="A49" i="1"/>
  <c r="C49" i="1" s="1"/>
  <c r="F49" i="1"/>
  <c r="A50" i="1"/>
  <c r="C50" i="1" s="1"/>
  <c r="F50" i="1"/>
  <c r="A51" i="1"/>
  <c r="C51" i="1" s="1"/>
  <c r="F51" i="1"/>
  <c r="A52" i="1"/>
  <c r="C52" i="1" s="1"/>
  <c r="F52" i="1"/>
  <c r="A53" i="1"/>
  <c r="C53" i="1" s="1"/>
  <c r="F53" i="1"/>
  <c r="A54" i="1"/>
  <c r="C54" i="1" s="1"/>
  <c r="F54" i="1"/>
  <c r="A55" i="1"/>
  <c r="C55" i="1" s="1"/>
  <c r="F55" i="1"/>
  <c r="A56" i="1"/>
  <c r="C56" i="1" s="1"/>
  <c r="F56" i="1"/>
  <c r="A57" i="1"/>
  <c r="C57" i="1" s="1"/>
  <c r="F57" i="1"/>
  <c r="A58" i="1"/>
  <c r="C58" i="1" s="1"/>
  <c r="F58" i="1"/>
  <c r="A59" i="1"/>
  <c r="C59" i="1" s="1"/>
  <c r="F59" i="1"/>
  <c r="A60" i="1"/>
  <c r="C60" i="1" s="1"/>
  <c r="F60" i="1"/>
  <c r="A61" i="1"/>
  <c r="C61" i="1" s="1"/>
  <c r="F61" i="1"/>
  <c r="A62" i="1"/>
  <c r="C62" i="1" s="1"/>
  <c r="F62" i="1"/>
  <c r="A63" i="1"/>
  <c r="C63" i="1" s="1"/>
  <c r="F63" i="1"/>
  <c r="A64" i="1"/>
  <c r="C64" i="1" s="1"/>
  <c r="F64" i="1"/>
  <c r="A65" i="1"/>
  <c r="C65" i="1" s="1"/>
  <c r="F65" i="1"/>
  <c r="A66" i="1"/>
  <c r="C66" i="1" s="1"/>
  <c r="F66" i="1"/>
  <c r="A67" i="1"/>
  <c r="C67" i="1" s="1"/>
  <c r="F67" i="1"/>
  <c r="A68" i="1"/>
  <c r="C68" i="1" s="1"/>
  <c r="F68" i="1"/>
  <c r="A69" i="1"/>
  <c r="C69" i="1" s="1"/>
  <c r="F69" i="1"/>
  <c r="A70" i="1"/>
  <c r="C70" i="1" s="1"/>
  <c r="F70" i="1"/>
  <c r="A71" i="1"/>
  <c r="C71" i="1" s="1"/>
  <c r="F71" i="1"/>
  <c r="A72" i="1"/>
  <c r="C72" i="1" s="1"/>
  <c r="F72" i="1"/>
  <c r="A73" i="1"/>
  <c r="C73" i="1" s="1"/>
  <c r="F73" i="1"/>
  <c r="A74" i="1"/>
  <c r="C74" i="1" s="1"/>
  <c r="F74" i="1"/>
  <c r="A75" i="1"/>
  <c r="C75" i="1" s="1"/>
  <c r="F75" i="1"/>
  <c r="A76" i="1"/>
  <c r="C76" i="1" s="1"/>
  <c r="F76" i="1"/>
  <c r="A77" i="1"/>
  <c r="C77" i="1" s="1"/>
  <c r="F77" i="1"/>
  <c r="A78" i="1"/>
  <c r="C78" i="1" s="1"/>
  <c r="F78" i="1"/>
  <c r="A79" i="1"/>
  <c r="C79" i="1" s="1"/>
  <c r="F79" i="1"/>
  <c r="A80" i="1"/>
  <c r="C80" i="1" s="1"/>
  <c r="F80" i="1"/>
  <c r="A81" i="1"/>
  <c r="C81" i="1" s="1"/>
  <c r="F81" i="1"/>
  <c r="A82" i="1"/>
  <c r="C82" i="1" s="1"/>
  <c r="F82" i="1"/>
  <c r="A83" i="1"/>
  <c r="C83" i="1" s="1"/>
  <c r="F83" i="1"/>
  <c r="A84" i="1"/>
  <c r="C84" i="1" s="1"/>
  <c r="F84" i="1"/>
  <c r="A85" i="1"/>
  <c r="C85" i="1" s="1"/>
  <c r="F85" i="1"/>
  <c r="A86" i="1"/>
  <c r="C86" i="1" s="1"/>
  <c r="F86" i="1"/>
  <c r="A87" i="1"/>
  <c r="C87" i="1" s="1"/>
  <c r="F87" i="1"/>
  <c r="A88" i="1"/>
  <c r="C88" i="1" s="1"/>
  <c r="F88" i="1"/>
  <c r="A89" i="1"/>
  <c r="C89" i="1" s="1"/>
  <c r="F89" i="1"/>
  <c r="A90" i="1"/>
  <c r="C90" i="1" s="1"/>
  <c r="F90" i="1"/>
  <c r="A91" i="1"/>
  <c r="C91" i="1" s="1"/>
  <c r="F91" i="1"/>
  <c r="A92" i="1"/>
  <c r="C92" i="1" s="1"/>
  <c r="F92" i="1"/>
  <c r="A93" i="1"/>
  <c r="C93" i="1" s="1"/>
  <c r="F93" i="1"/>
  <c r="A94" i="1"/>
  <c r="C94" i="1" s="1"/>
  <c r="F94" i="1"/>
  <c r="A95" i="1"/>
  <c r="C95" i="1" s="1"/>
  <c r="F95" i="1"/>
  <c r="A96" i="1"/>
  <c r="C96" i="1" s="1"/>
  <c r="F96" i="1"/>
  <c r="A97" i="1"/>
  <c r="C97" i="1" s="1"/>
  <c r="F97" i="1"/>
  <c r="A98" i="1"/>
  <c r="C98" i="1" s="1"/>
  <c r="F98" i="1"/>
  <c r="A99" i="1"/>
  <c r="C99" i="1" s="1"/>
  <c r="F99" i="1"/>
  <c r="A100" i="1"/>
  <c r="C100" i="1" s="1"/>
  <c r="F100" i="1"/>
  <c r="A101" i="1"/>
  <c r="C101" i="1" s="1"/>
  <c r="F101" i="1"/>
  <c r="A102" i="1"/>
  <c r="C102" i="1" s="1"/>
  <c r="F102" i="1"/>
  <c r="A103" i="1"/>
  <c r="C103" i="1" s="1"/>
  <c r="F103" i="1"/>
  <c r="A104" i="1"/>
  <c r="C104" i="1" s="1"/>
  <c r="F104" i="1"/>
  <c r="A105" i="1"/>
  <c r="C105" i="1" s="1"/>
  <c r="F105" i="1"/>
  <c r="A106" i="1"/>
  <c r="C106" i="1" s="1"/>
  <c r="F106" i="1"/>
  <c r="A107" i="1"/>
  <c r="C107" i="1" s="1"/>
  <c r="F107" i="1"/>
  <c r="A108" i="1"/>
  <c r="C108" i="1" s="1"/>
  <c r="F108" i="1"/>
  <c r="A109" i="1"/>
  <c r="C109" i="1" s="1"/>
  <c r="F109" i="1"/>
  <c r="A110" i="1"/>
  <c r="C110" i="1" s="1"/>
  <c r="F110" i="1"/>
  <c r="A111" i="1"/>
  <c r="C111" i="1" s="1"/>
  <c r="F111" i="1"/>
  <c r="A112" i="1"/>
  <c r="C112" i="1" s="1"/>
  <c r="F112" i="1"/>
  <c r="A113" i="1"/>
  <c r="C113" i="1" s="1"/>
  <c r="F113" i="1"/>
  <c r="A114" i="1"/>
  <c r="C114" i="1" s="1"/>
  <c r="F114" i="1"/>
  <c r="A115" i="1"/>
  <c r="C115" i="1" s="1"/>
  <c r="F115" i="1"/>
  <c r="A116" i="1"/>
  <c r="C116" i="1" s="1"/>
  <c r="F116" i="1"/>
  <c r="A117" i="1"/>
  <c r="C117" i="1" s="1"/>
  <c r="F117" i="1"/>
  <c r="A118" i="1"/>
  <c r="C118" i="1" s="1"/>
  <c r="F118" i="1"/>
  <c r="A119" i="1"/>
  <c r="C119" i="1" s="1"/>
  <c r="F119" i="1"/>
  <c r="A120" i="1"/>
  <c r="C120" i="1" s="1"/>
  <c r="F120" i="1"/>
  <c r="A121" i="1"/>
  <c r="C121" i="1" s="1"/>
  <c r="F121" i="1"/>
  <c r="A122" i="1"/>
  <c r="C122" i="1" s="1"/>
  <c r="F122" i="1"/>
  <c r="A123" i="1"/>
  <c r="C123" i="1" s="1"/>
  <c r="F123" i="1"/>
  <c r="A124" i="1"/>
  <c r="C124" i="1" s="1"/>
  <c r="F124" i="1"/>
  <c r="A125" i="1"/>
  <c r="C125" i="1" s="1"/>
  <c r="F125" i="1"/>
  <c r="A126" i="1"/>
  <c r="C126" i="1" s="1"/>
  <c r="F126" i="1"/>
  <c r="A127" i="1"/>
  <c r="C127" i="1" s="1"/>
  <c r="F127" i="1"/>
  <c r="A128" i="1"/>
  <c r="C128" i="1" s="1"/>
  <c r="F128" i="1"/>
  <c r="A129" i="1"/>
  <c r="C129" i="1" s="1"/>
  <c r="F129" i="1"/>
  <c r="A130" i="1"/>
  <c r="C130" i="1" s="1"/>
  <c r="F130" i="1"/>
  <c r="A131" i="1"/>
  <c r="C131" i="1" s="1"/>
  <c r="F131" i="1"/>
  <c r="A132" i="1"/>
  <c r="C132" i="1" s="1"/>
  <c r="F132" i="1"/>
  <c r="A133" i="1"/>
  <c r="C133" i="1" s="1"/>
  <c r="F133" i="1"/>
  <c r="A134" i="1"/>
  <c r="C134" i="1" s="1"/>
  <c r="F134" i="1"/>
  <c r="A135" i="1"/>
  <c r="C135" i="1" s="1"/>
  <c r="F135" i="1"/>
  <c r="A136" i="1"/>
  <c r="C136" i="1" s="1"/>
  <c r="F136" i="1"/>
  <c r="A137" i="1"/>
  <c r="C137" i="1" s="1"/>
  <c r="F137" i="1"/>
  <c r="A138" i="1"/>
  <c r="C138" i="1" s="1"/>
  <c r="F138" i="1"/>
  <c r="A139" i="1"/>
  <c r="C139" i="1" s="1"/>
  <c r="F139" i="1"/>
  <c r="A140" i="1"/>
  <c r="C140" i="1" s="1"/>
  <c r="F140" i="1"/>
  <c r="A141" i="1"/>
  <c r="C141" i="1" s="1"/>
  <c r="F141" i="1"/>
  <c r="A142" i="1"/>
  <c r="C142" i="1" s="1"/>
  <c r="F142" i="1"/>
  <c r="A143" i="1"/>
  <c r="C143" i="1" s="1"/>
  <c r="F143" i="1"/>
  <c r="A144" i="1"/>
  <c r="C144" i="1" s="1"/>
  <c r="F144" i="1"/>
  <c r="A145" i="1"/>
  <c r="C145" i="1" s="1"/>
  <c r="F145" i="1"/>
  <c r="A146" i="1"/>
  <c r="C146" i="1" s="1"/>
  <c r="F146" i="1"/>
  <c r="A147" i="1"/>
  <c r="C147" i="1" s="1"/>
  <c r="F147" i="1"/>
  <c r="A148" i="1"/>
  <c r="C148" i="1" s="1"/>
  <c r="F148" i="1"/>
  <c r="A149" i="1"/>
  <c r="C149" i="1" s="1"/>
  <c r="F149" i="1"/>
  <c r="A150" i="1"/>
  <c r="C150" i="1" s="1"/>
  <c r="F150" i="1"/>
  <c r="A151" i="1"/>
  <c r="C151" i="1" s="1"/>
  <c r="F151" i="1"/>
  <c r="A152" i="1"/>
  <c r="C152" i="1" s="1"/>
  <c r="F152" i="1"/>
  <c r="A153" i="1"/>
  <c r="C153" i="1" s="1"/>
  <c r="F153" i="1"/>
  <c r="A154" i="1"/>
  <c r="C154" i="1" s="1"/>
  <c r="F154" i="1"/>
  <c r="A155" i="1"/>
  <c r="C155" i="1" s="1"/>
  <c r="F155" i="1"/>
  <c r="A156" i="1"/>
  <c r="C156" i="1" s="1"/>
  <c r="F156" i="1"/>
  <c r="A157" i="1"/>
  <c r="C157" i="1" s="1"/>
  <c r="F157" i="1"/>
  <c r="A158" i="1"/>
  <c r="C158" i="1" s="1"/>
  <c r="F158" i="1"/>
  <c r="A159" i="1"/>
  <c r="C159" i="1" s="1"/>
  <c r="F159" i="1"/>
  <c r="A160" i="1"/>
  <c r="C160" i="1" s="1"/>
  <c r="F160" i="1"/>
  <c r="A161" i="1"/>
  <c r="C161" i="1" s="1"/>
  <c r="F161" i="1"/>
  <c r="A162" i="1"/>
  <c r="C162" i="1" s="1"/>
  <c r="F162" i="1"/>
  <c r="A163" i="1"/>
  <c r="C163" i="1" s="1"/>
  <c r="F163" i="1"/>
  <c r="A164" i="1"/>
  <c r="C164" i="1" s="1"/>
  <c r="F164" i="1"/>
  <c r="A165" i="1"/>
  <c r="C165" i="1" s="1"/>
  <c r="F165" i="1"/>
  <c r="A166" i="1"/>
  <c r="C166" i="1" s="1"/>
  <c r="F166" i="1"/>
  <c r="A167" i="1"/>
  <c r="C167" i="1" s="1"/>
  <c r="F167" i="1"/>
  <c r="A168" i="1"/>
  <c r="C168" i="1" s="1"/>
  <c r="F168" i="1"/>
  <c r="A169" i="1"/>
  <c r="C169" i="1" s="1"/>
  <c r="F169" i="1"/>
  <c r="A170" i="1"/>
  <c r="C170" i="1" s="1"/>
  <c r="F170" i="1"/>
  <c r="A171" i="1"/>
  <c r="C171" i="1" s="1"/>
  <c r="F171" i="1"/>
  <c r="A172" i="1"/>
  <c r="C172" i="1" s="1"/>
  <c r="F172" i="1"/>
  <c r="A173" i="1"/>
  <c r="C173" i="1" s="1"/>
  <c r="F173" i="1"/>
  <c r="A174" i="1"/>
  <c r="C174" i="1" s="1"/>
  <c r="F174" i="1"/>
  <c r="A175" i="1"/>
  <c r="C175" i="1" s="1"/>
  <c r="F175" i="1"/>
  <c r="A176" i="1"/>
  <c r="C176" i="1" s="1"/>
  <c r="F176" i="1"/>
  <c r="A177" i="1"/>
  <c r="C177" i="1" s="1"/>
  <c r="F177" i="1"/>
  <c r="A178" i="1"/>
  <c r="C178" i="1" s="1"/>
  <c r="F178" i="1"/>
  <c r="A179" i="1"/>
  <c r="C179" i="1" s="1"/>
  <c r="F179" i="1"/>
  <c r="A180" i="1"/>
  <c r="C180" i="1" s="1"/>
  <c r="F180" i="1"/>
  <c r="A181" i="1"/>
  <c r="C181" i="1" s="1"/>
  <c r="F181" i="1"/>
  <c r="A182" i="1"/>
  <c r="C182" i="1" s="1"/>
  <c r="F182" i="1"/>
  <c r="A183" i="1"/>
  <c r="C183" i="1" s="1"/>
  <c r="F183" i="1"/>
  <c r="A184" i="1"/>
  <c r="C184" i="1" s="1"/>
  <c r="F184" i="1"/>
  <c r="A185" i="1"/>
  <c r="C185" i="1" s="1"/>
  <c r="F185" i="1"/>
  <c r="A186" i="1"/>
  <c r="C186" i="1" s="1"/>
  <c r="F186" i="1"/>
  <c r="A187" i="1"/>
  <c r="C187" i="1" s="1"/>
  <c r="F187" i="1"/>
  <c r="A188" i="1"/>
  <c r="C188" i="1" s="1"/>
  <c r="F188" i="1"/>
  <c r="A189" i="1"/>
  <c r="C189" i="1" s="1"/>
  <c r="F189" i="1"/>
  <c r="A190" i="1"/>
  <c r="C190" i="1" s="1"/>
  <c r="F190" i="1"/>
  <c r="A191" i="1"/>
  <c r="C191" i="1" s="1"/>
  <c r="F191" i="1"/>
  <c r="A192" i="1"/>
  <c r="C192" i="1" s="1"/>
  <c r="F192" i="1"/>
  <c r="A193" i="1"/>
  <c r="C193" i="1" s="1"/>
  <c r="F193" i="1"/>
  <c r="A194" i="1"/>
  <c r="C194" i="1" s="1"/>
  <c r="F194" i="1"/>
  <c r="A195" i="1"/>
  <c r="C195" i="1" s="1"/>
  <c r="F195" i="1"/>
  <c r="A196" i="1"/>
  <c r="C196" i="1" s="1"/>
  <c r="F196" i="1"/>
  <c r="A197" i="1"/>
  <c r="C197" i="1" s="1"/>
  <c r="F197" i="1"/>
  <c r="A198" i="1"/>
  <c r="C198" i="1" s="1"/>
  <c r="F198" i="1"/>
  <c r="A199" i="1"/>
  <c r="C199" i="1" s="1"/>
  <c r="F199" i="1"/>
  <c r="A200" i="1"/>
  <c r="C200" i="1" s="1"/>
  <c r="F200" i="1"/>
  <c r="A201" i="1"/>
  <c r="C201" i="1" s="1"/>
  <c r="F201" i="1"/>
  <c r="A202" i="1"/>
  <c r="C202" i="1" s="1"/>
  <c r="F202" i="1"/>
  <c r="A203" i="1"/>
  <c r="C203" i="1" s="1"/>
  <c r="F203" i="1"/>
  <c r="A204" i="1"/>
  <c r="C204" i="1" s="1"/>
  <c r="F204" i="1"/>
  <c r="A205" i="1"/>
  <c r="C205" i="1" s="1"/>
  <c r="F205" i="1"/>
  <c r="A206" i="1"/>
  <c r="C206" i="1" s="1"/>
  <c r="F206" i="1"/>
  <c r="A207" i="1"/>
  <c r="C207" i="1" s="1"/>
  <c r="F207" i="1"/>
  <c r="A208" i="1"/>
  <c r="C208" i="1" s="1"/>
  <c r="F208" i="1"/>
  <c r="A209" i="1"/>
  <c r="C209" i="1" s="1"/>
  <c r="F209" i="1"/>
  <c r="A210" i="1"/>
  <c r="C210" i="1" s="1"/>
  <c r="F210" i="1"/>
  <c r="A211" i="1"/>
  <c r="C211" i="1" s="1"/>
  <c r="F211" i="1"/>
  <c r="A212" i="1"/>
  <c r="C212" i="1" s="1"/>
  <c r="F212" i="1"/>
  <c r="A213" i="1"/>
  <c r="C213" i="1" s="1"/>
  <c r="F213" i="1"/>
  <c r="A214" i="1"/>
  <c r="C214" i="1" s="1"/>
  <c r="F214" i="1"/>
  <c r="A215" i="1"/>
  <c r="C215" i="1" s="1"/>
  <c r="F215" i="1"/>
  <c r="A216" i="1"/>
  <c r="C216" i="1" s="1"/>
  <c r="F216" i="1"/>
  <c r="A217" i="1"/>
  <c r="C217" i="1" s="1"/>
  <c r="F217" i="1"/>
  <c r="A218" i="1"/>
  <c r="C218" i="1" s="1"/>
  <c r="F218" i="1"/>
  <c r="A219" i="1"/>
  <c r="C219" i="1" s="1"/>
  <c r="F219" i="1"/>
  <c r="A220" i="1"/>
  <c r="C220" i="1" s="1"/>
  <c r="F220" i="1"/>
  <c r="A221" i="1"/>
  <c r="C221" i="1" s="1"/>
  <c r="F221" i="1"/>
  <c r="A222" i="1"/>
  <c r="F234" i="1"/>
  <c r="A223" i="1"/>
  <c r="C223" i="1" s="1"/>
  <c r="F223" i="1"/>
  <c r="A224" i="1"/>
  <c r="C224" i="1" s="1"/>
  <c r="F224" i="1"/>
  <c r="A225" i="1"/>
  <c r="C225" i="1" s="1"/>
  <c r="F225" i="1"/>
  <c r="A226" i="1"/>
  <c r="C226" i="1" s="1"/>
  <c r="F226" i="1"/>
  <c r="A227" i="1"/>
  <c r="C227" i="1" s="1"/>
  <c r="F227" i="1"/>
  <c r="A228" i="1"/>
  <c r="C228" i="1" s="1"/>
  <c r="F228" i="1"/>
  <c r="A229" i="1"/>
  <c r="C229" i="1" s="1"/>
  <c r="F229" i="1"/>
  <c r="A230" i="1"/>
  <c r="C230" i="1" s="1"/>
  <c r="F230" i="1"/>
  <c r="A231" i="1"/>
  <c r="C231" i="1" s="1"/>
  <c r="F231" i="1"/>
  <c r="A232" i="1"/>
  <c r="C232" i="1" s="1"/>
  <c r="F232" i="1"/>
  <c r="A233" i="1"/>
  <c r="C233" i="1" s="1"/>
  <c r="F233" i="1"/>
  <c r="A234" i="1"/>
  <c r="C630" i="1" s="1"/>
  <c r="F630" i="1"/>
  <c r="A235" i="1"/>
  <c r="C235" i="1" s="1"/>
  <c r="F235" i="1"/>
  <c r="A236" i="1"/>
  <c r="C236" i="1" s="1"/>
  <c r="F236" i="1"/>
  <c r="A237" i="1"/>
  <c r="C237" i="1" s="1"/>
  <c r="F237" i="1"/>
  <c r="A238" i="1"/>
  <c r="C238" i="1" s="1"/>
  <c r="F238" i="1"/>
  <c r="A239" i="1"/>
  <c r="C239" i="1" s="1"/>
  <c r="F239" i="1"/>
  <c r="A240" i="1"/>
  <c r="C240" i="1" s="1"/>
  <c r="F240" i="1"/>
  <c r="A241" i="1"/>
  <c r="C241" i="1" s="1"/>
  <c r="F241" i="1"/>
  <c r="A242" i="1"/>
  <c r="C242" i="1" s="1"/>
  <c r="F242" i="1"/>
  <c r="A243" i="1"/>
  <c r="C243" i="1" s="1"/>
  <c r="F243" i="1"/>
  <c r="A244" i="1"/>
  <c r="C244" i="1" s="1"/>
  <c r="F244" i="1"/>
  <c r="A245" i="1"/>
  <c r="F293" i="1"/>
  <c r="A246" i="1"/>
  <c r="C246" i="1" s="1"/>
  <c r="F246" i="1"/>
  <c r="A247" i="1"/>
  <c r="F310" i="1"/>
  <c r="A248" i="1"/>
  <c r="C248" i="1" s="1"/>
  <c r="F248" i="1"/>
  <c r="A249" i="1"/>
  <c r="C249" i="1" s="1"/>
  <c r="F249" i="1"/>
  <c r="A250" i="1"/>
  <c r="C250" i="1" s="1"/>
  <c r="F250" i="1"/>
  <c r="A251" i="1"/>
  <c r="C251" i="1" s="1"/>
  <c r="F251" i="1"/>
  <c r="A252" i="1"/>
  <c r="C252" i="1" s="1"/>
  <c r="F252" i="1"/>
  <c r="A253" i="1"/>
  <c r="F291" i="1"/>
  <c r="A254" i="1"/>
  <c r="C254" i="1" s="1"/>
  <c r="F254" i="1"/>
  <c r="A255" i="1"/>
  <c r="C255" i="1" s="1"/>
  <c r="F255" i="1"/>
  <c r="A256" i="1"/>
  <c r="C256" i="1" s="1"/>
  <c r="F256" i="1"/>
  <c r="A257" i="1"/>
  <c r="C257" i="1" s="1"/>
  <c r="F257" i="1"/>
  <c r="A258" i="1"/>
  <c r="C258" i="1" s="1"/>
  <c r="F258" i="1"/>
  <c r="A259" i="1"/>
  <c r="C259" i="1" s="1"/>
  <c r="F259" i="1"/>
  <c r="A260" i="1"/>
  <c r="C260" i="1" s="1"/>
  <c r="F260" i="1"/>
  <c r="A261" i="1"/>
  <c r="C261" i="1" s="1"/>
  <c r="F261" i="1"/>
  <c r="A262" i="1"/>
  <c r="C262" i="1" s="1"/>
  <c r="F262" i="1"/>
  <c r="A263" i="1"/>
  <c r="F299" i="1"/>
  <c r="A264" i="1"/>
  <c r="C264" i="1" s="1"/>
  <c r="F264" i="1"/>
  <c r="A265" i="1"/>
  <c r="C265" i="1" s="1"/>
  <c r="F265" i="1"/>
  <c r="A266" i="1"/>
  <c r="F247" i="1"/>
  <c r="A267" i="1"/>
  <c r="C267" i="1" s="1"/>
  <c r="F267" i="1"/>
  <c r="A268" i="1"/>
  <c r="F288" i="1"/>
  <c r="A269" i="1"/>
  <c r="C269" i="1" s="1"/>
  <c r="F269" i="1"/>
  <c r="A270" i="1"/>
  <c r="C270" i="1" s="1"/>
  <c r="F270" i="1"/>
  <c r="A271" i="1"/>
  <c r="C271" i="1" s="1"/>
  <c r="F271" i="1"/>
  <c r="A272" i="1"/>
  <c r="C272" i="1" s="1"/>
  <c r="F272" i="1"/>
  <c r="A273" i="1"/>
  <c r="C273" i="1" s="1"/>
  <c r="F273" i="1"/>
  <c r="A274" i="1"/>
  <c r="C274" i="1" s="1"/>
  <c r="F274" i="1"/>
  <c r="A275" i="1"/>
  <c r="C275" i="1" s="1"/>
  <c r="F275" i="1"/>
  <c r="A276" i="1"/>
  <c r="C276" i="1" s="1"/>
  <c r="F276" i="1"/>
  <c r="A277" i="1"/>
  <c r="C277" i="1" s="1"/>
  <c r="F277" i="1"/>
  <c r="A278" i="1"/>
  <c r="F245" i="1"/>
  <c r="A279" i="1"/>
  <c r="C279" i="1" s="1"/>
  <c r="F279" i="1"/>
  <c r="A280" i="1"/>
  <c r="C280" i="1" s="1"/>
  <c r="F280" i="1"/>
  <c r="A281" i="1"/>
  <c r="C281" i="1" s="1"/>
  <c r="F281" i="1"/>
  <c r="A282" i="1"/>
  <c r="C282" i="1" s="1"/>
  <c r="F282" i="1"/>
  <c r="A283" i="1"/>
  <c r="C283" i="1" s="1"/>
  <c r="F283" i="1"/>
  <c r="A284" i="1"/>
  <c r="C284" i="1" s="1"/>
  <c r="F284" i="1"/>
  <c r="A285" i="1"/>
  <c r="C285" i="1" s="1"/>
  <c r="F285" i="1"/>
  <c r="A286" i="1"/>
  <c r="C286" i="1" s="1"/>
  <c r="F286" i="1"/>
  <c r="A287" i="1"/>
  <c r="C287" i="1" s="1"/>
  <c r="F287" i="1"/>
  <c r="A288" i="1"/>
  <c r="F253" i="1"/>
  <c r="A289" i="1"/>
  <c r="C289" i="1" s="1"/>
  <c r="F289" i="1"/>
  <c r="A290" i="1"/>
  <c r="C290" i="1" s="1"/>
  <c r="F290" i="1"/>
  <c r="A291" i="1"/>
  <c r="F266" i="1"/>
  <c r="A292" i="1"/>
  <c r="C292" i="1" s="1"/>
  <c r="F292" i="1"/>
  <c r="A293" i="1"/>
  <c r="F278" i="1"/>
  <c r="A294" i="1"/>
  <c r="C294" i="1" s="1"/>
  <c r="F294" i="1"/>
  <c r="A295" i="1"/>
  <c r="C295" i="1" s="1"/>
  <c r="F295" i="1"/>
  <c r="A296" i="1"/>
  <c r="C296" i="1" s="1"/>
  <c r="F296" i="1"/>
  <c r="A297" i="1"/>
  <c r="C297" i="1" s="1"/>
  <c r="F297" i="1"/>
  <c r="A298" i="1"/>
  <c r="C298" i="1" s="1"/>
  <c r="F298" i="1"/>
  <c r="A299" i="1"/>
  <c r="F263" i="1"/>
  <c r="A300" i="1"/>
  <c r="C300" i="1" s="1"/>
  <c r="F300" i="1"/>
  <c r="A301" i="1"/>
  <c r="C301" i="1" s="1"/>
  <c r="F301" i="1"/>
  <c r="A302" i="1"/>
  <c r="C302" i="1" s="1"/>
  <c r="F302" i="1"/>
  <c r="A303" i="1"/>
  <c r="C303" i="1" s="1"/>
  <c r="F303" i="1"/>
  <c r="A304" i="1"/>
  <c r="C304" i="1" s="1"/>
  <c r="F304" i="1"/>
  <c r="A305" i="1"/>
  <c r="C305" i="1" s="1"/>
  <c r="F305" i="1"/>
  <c r="A306" i="1"/>
  <c r="C306" i="1" s="1"/>
  <c r="F306" i="1"/>
  <c r="A307" i="1"/>
  <c r="C307" i="1" s="1"/>
  <c r="F307" i="1"/>
  <c r="A308" i="1"/>
  <c r="C308" i="1" s="1"/>
  <c r="F308" i="1"/>
  <c r="A309" i="1"/>
  <c r="C309" i="1" s="1"/>
  <c r="F309" i="1"/>
  <c r="A310" i="1"/>
  <c r="F268" i="1"/>
  <c r="A311" i="1"/>
  <c r="C311" i="1" s="1"/>
  <c r="F311" i="1"/>
  <c r="A312" i="1"/>
  <c r="C312" i="1" s="1"/>
  <c r="F312" i="1"/>
  <c r="A313" i="1"/>
  <c r="C313" i="1" s="1"/>
  <c r="F313" i="1"/>
  <c r="A314" i="1"/>
  <c r="C314" i="1" s="1"/>
  <c r="F314" i="1"/>
  <c r="A315" i="1"/>
  <c r="C315" i="1" s="1"/>
  <c r="F315" i="1"/>
  <c r="A316" i="1"/>
  <c r="C316" i="1" s="1"/>
  <c r="F316" i="1"/>
  <c r="A317" i="1"/>
  <c r="C317" i="1" s="1"/>
  <c r="F317" i="1"/>
  <c r="A318" i="1"/>
  <c r="C318" i="1" s="1"/>
  <c r="F318" i="1"/>
  <c r="A319" i="1"/>
  <c r="C319" i="1" s="1"/>
  <c r="F319" i="1"/>
  <c r="A320" i="1"/>
  <c r="C320" i="1" s="1"/>
  <c r="F320" i="1"/>
  <c r="A321" i="1"/>
  <c r="C321" i="1" s="1"/>
  <c r="F321" i="1"/>
  <c r="A322" i="1"/>
  <c r="C322" i="1" s="1"/>
  <c r="F322" i="1"/>
  <c r="A323" i="1"/>
  <c r="C323" i="1" s="1"/>
  <c r="F323" i="1"/>
  <c r="A324" i="1"/>
  <c r="C324" i="1" s="1"/>
  <c r="F324" i="1"/>
  <c r="A325" i="1"/>
  <c r="C325" i="1" s="1"/>
  <c r="F325" i="1"/>
  <c r="A326" i="1"/>
  <c r="C326" i="1" s="1"/>
  <c r="F326" i="1"/>
  <c r="A327" i="1"/>
  <c r="C327" i="1" s="1"/>
  <c r="F327" i="1"/>
  <c r="A328" i="1"/>
  <c r="C328" i="1" s="1"/>
  <c r="F328" i="1"/>
  <c r="A329" i="1"/>
  <c r="C329" i="1" s="1"/>
  <c r="F329" i="1"/>
  <c r="A330" i="1"/>
  <c r="C330" i="1" s="1"/>
  <c r="F330" i="1"/>
  <c r="A331" i="1"/>
  <c r="C331" i="1" s="1"/>
  <c r="F331" i="1"/>
  <c r="A332" i="1"/>
  <c r="C332" i="1" s="1"/>
  <c r="F332" i="1"/>
  <c r="A333" i="1"/>
  <c r="C333" i="1" s="1"/>
  <c r="F333" i="1"/>
  <c r="A334" i="1"/>
  <c r="C334" i="1" s="1"/>
  <c r="F334" i="1"/>
  <c r="A335" i="1"/>
  <c r="C335" i="1" s="1"/>
  <c r="F335" i="1"/>
  <c r="A336" i="1"/>
  <c r="C336" i="1" s="1"/>
  <c r="F336" i="1"/>
  <c r="A337" i="1"/>
  <c r="C337" i="1" s="1"/>
  <c r="F337" i="1"/>
  <c r="A338" i="1"/>
  <c r="C338" i="1" s="1"/>
  <c r="F338" i="1"/>
  <c r="A339" i="1"/>
  <c r="C339" i="1" s="1"/>
  <c r="F339" i="1"/>
  <c r="A340" i="1"/>
  <c r="C340" i="1" s="1"/>
  <c r="F340" i="1"/>
  <c r="A341" i="1"/>
  <c r="C341" i="1" s="1"/>
  <c r="F341" i="1"/>
  <c r="A342" i="1"/>
  <c r="C342" i="1" s="1"/>
  <c r="F342" i="1"/>
  <c r="A343" i="1"/>
  <c r="C343" i="1" s="1"/>
  <c r="F343" i="1"/>
  <c r="A344" i="1"/>
  <c r="C344" i="1" s="1"/>
  <c r="F344" i="1"/>
  <c r="A345" i="1"/>
  <c r="A346" i="1"/>
  <c r="C346" i="1" s="1"/>
  <c r="F346" i="1"/>
  <c r="A347" i="1"/>
  <c r="C347" i="1" s="1"/>
  <c r="F347" i="1"/>
  <c r="A348" i="1"/>
  <c r="C348" i="1" s="1"/>
  <c r="F348" i="1"/>
  <c r="A349" i="1"/>
  <c r="C349" i="1" s="1"/>
  <c r="F349" i="1"/>
  <c r="A350" i="1"/>
  <c r="C350" i="1" s="1"/>
  <c r="F350" i="1"/>
  <c r="A351" i="1"/>
  <c r="C351" i="1" s="1"/>
  <c r="F351" i="1"/>
  <c r="A352" i="1"/>
  <c r="C352" i="1" s="1"/>
  <c r="F352" i="1"/>
  <c r="A353" i="1"/>
  <c r="C353" i="1" s="1"/>
  <c r="F353" i="1"/>
  <c r="A354" i="1"/>
  <c r="C354" i="1" s="1"/>
  <c r="F354" i="1"/>
  <c r="A355" i="1"/>
  <c r="C355" i="1" s="1"/>
  <c r="F355" i="1"/>
  <c r="A356" i="1"/>
  <c r="C356" i="1" s="1"/>
  <c r="F356" i="1"/>
  <c r="A357" i="1"/>
  <c r="C357" i="1" s="1"/>
  <c r="F357" i="1"/>
  <c r="A358" i="1"/>
  <c r="C358" i="1" s="1"/>
  <c r="F358" i="1"/>
  <c r="A359" i="1"/>
  <c r="C359" i="1" s="1"/>
  <c r="F359" i="1"/>
  <c r="A360" i="1"/>
  <c r="C360" i="1" s="1"/>
  <c r="F360" i="1"/>
  <c r="A361" i="1"/>
  <c r="C361" i="1" s="1"/>
  <c r="F361" i="1"/>
  <c r="A362" i="1"/>
  <c r="C362" i="1" s="1"/>
  <c r="F362" i="1"/>
  <c r="A363" i="1"/>
  <c r="C363" i="1" s="1"/>
  <c r="F363" i="1"/>
  <c r="A364" i="1"/>
  <c r="C364" i="1" s="1"/>
  <c r="F364" i="1"/>
  <c r="A365" i="1"/>
  <c r="C365" i="1" s="1"/>
  <c r="F365" i="1"/>
  <c r="A366" i="1"/>
  <c r="C366" i="1" s="1"/>
  <c r="F366" i="1"/>
  <c r="A367" i="1"/>
  <c r="C367" i="1" s="1"/>
  <c r="F367" i="1"/>
  <c r="A368" i="1"/>
  <c r="C368" i="1" s="1"/>
  <c r="F368" i="1"/>
  <c r="A369" i="1"/>
  <c r="C369" i="1" s="1"/>
  <c r="F369" i="1"/>
  <c r="A370" i="1"/>
  <c r="C370" i="1" s="1"/>
  <c r="F370" i="1"/>
  <c r="A371" i="1"/>
  <c r="C371" i="1" s="1"/>
  <c r="F371" i="1"/>
  <c r="A372" i="1"/>
  <c r="C372" i="1" s="1"/>
  <c r="F372" i="1"/>
  <c r="A373" i="1"/>
  <c r="C373" i="1" s="1"/>
  <c r="F373" i="1"/>
  <c r="A374" i="1"/>
  <c r="C374" i="1" s="1"/>
  <c r="F374" i="1"/>
  <c r="A375" i="1"/>
  <c r="C375" i="1" s="1"/>
  <c r="F375" i="1"/>
  <c r="A376" i="1"/>
  <c r="C376" i="1" s="1"/>
  <c r="F376" i="1"/>
  <c r="A377" i="1"/>
  <c r="C377" i="1" s="1"/>
  <c r="F377" i="1"/>
  <c r="A378" i="1"/>
  <c r="C378" i="1" s="1"/>
  <c r="F378" i="1"/>
  <c r="A379" i="1"/>
  <c r="C379" i="1" s="1"/>
  <c r="F379" i="1"/>
  <c r="A380" i="1"/>
  <c r="C380" i="1" s="1"/>
  <c r="F380" i="1"/>
  <c r="A381" i="1"/>
  <c r="C381" i="1" s="1"/>
  <c r="F381" i="1"/>
  <c r="A382" i="1"/>
  <c r="C382" i="1" s="1"/>
  <c r="F382" i="1"/>
  <c r="A383" i="1"/>
  <c r="C383" i="1" s="1"/>
  <c r="F383" i="1"/>
  <c r="A384" i="1"/>
  <c r="C384" i="1" s="1"/>
  <c r="F384" i="1"/>
  <c r="A385" i="1"/>
  <c r="C385" i="1" s="1"/>
  <c r="F385" i="1"/>
  <c r="A386" i="1"/>
  <c r="C386" i="1" s="1"/>
  <c r="F386" i="1"/>
  <c r="A387" i="1"/>
  <c r="C387" i="1" s="1"/>
  <c r="F387" i="1"/>
  <c r="A388" i="1"/>
  <c r="C388" i="1" s="1"/>
  <c r="F388" i="1"/>
  <c r="A389" i="1"/>
  <c r="C389" i="1" s="1"/>
  <c r="F389" i="1"/>
  <c r="A390" i="1"/>
  <c r="C390" i="1" s="1"/>
  <c r="F390" i="1"/>
  <c r="A391" i="1"/>
  <c r="C391" i="1" s="1"/>
  <c r="F391" i="1"/>
  <c r="A392" i="1"/>
  <c r="C392" i="1" s="1"/>
  <c r="F392" i="1"/>
  <c r="A393" i="1"/>
  <c r="C393" i="1" s="1"/>
  <c r="F393" i="1"/>
  <c r="A394" i="1"/>
  <c r="C394" i="1" s="1"/>
  <c r="F394" i="1"/>
  <c r="A395" i="1"/>
  <c r="C395" i="1" s="1"/>
  <c r="F395" i="1"/>
  <c r="A396" i="1"/>
  <c r="C396" i="1" s="1"/>
  <c r="F396" i="1"/>
  <c r="A397" i="1"/>
  <c r="C397" i="1" s="1"/>
  <c r="F397" i="1"/>
  <c r="A398" i="1"/>
  <c r="C398" i="1" s="1"/>
  <c r="F398" i="1"/>
  <c r="A399" i="1"/>
  <c r="C399" i="1" s="1"/>
  <c r="F399" i="1"/>
  <c r="A400" i="1"/>
  <c r="C400" i="1" s="1"/>
  <c r="F400" i="1"/>
  <c r="A401" i="1"/>
  <c r="C401" i="1" s="1"/>
  <c r="F401" i="1"/>
  <c r="A402" i="1"/>
  <c r="C402" i="1" s="1"/>
  <c r="F402" i="1"/>
  <c r="A403" i="1"/>
  <c r="C403" i="1" s="1"/>
  <c r="F403" i="1"/>
  <c r="A404" i="1"/>
  <c r="C404" i="1" s="1"/>
  <c r="F404" i="1"/>
  <c r="A405" i="1"/>
  <c r="C405" i="1" s="1"/>
  <c r="F405" i="1"/>
  <c r="A406" i="1"/>
  <c r="C406" i="1" s="1"/>
  <c r="F406" i="1"/>
  <c r="A407" i="1"/>
  <c r="C407" i="1" s="1"/>
  <c r="F407" i="1"/>
  <c r="A408" i="1"/>
  <c r="C408" i="1" s="1"/>
  <c r="F408" i="1"/>
  <c r="A409" i="1"/>
  <c r="C409" i="1" s="1"/>
  <c r="F409" i="1"/>
  <c r="A410" i="1"/>
  <c r="C410" i="1" s="1"/>
  <c r="F410" i="1"/>
  <c r="A411" i="1"/>
  <c r="C411" i="1" s="1"/>
  <c r="F411" i="1"/>
  <c r="A412" i="1"/>
  <c r="C412" i="1" s="1"/>
  <c r="F412" i="1"/>
  <c r="A413" i="1"/>
  <c r="C413" i="1" s="1"/>
  <c r="F413" i="1"/>
  <c r="A414" i="1"/>
  <c r="C414" i="1" s="1"/>
  <c r="F414" i="1"/>
  <c r="A415" i="1"/>
  <c r="C415" i="1" s="1"/>
  <c r="F415" i="1"/>
  <c r="A416" i="1"/>
  <c r="C416" i="1" s="1"/>
  <c r="F416" i="1"/>
  <c r="A417" i="1"/>
  <c r="C417" i="1" s="1"/>
  <c r="F417" i="1"/>
  <c r="A418" i="1"/>
  <c r="C418" i="1" s="1"/>
  <c r="F418" i="1"/>
  <c r="A419" i="1"/>
  <c r="C419" i="1" s="1"/>
  <c r="F419" i="1"/>
  <c r="A420" i="1"/>
  <c r="C420" i="1" s="1"/>
  <c r="F420" i="1"/>
  <c r="A421" i="1"/>
  <c r="C421" i="1" s="1"/>
  <c r="F421" i="1"/>
  <c r="A422" i="1"/>
  <c r="C422" i="1" s="1"/>
  <c r="F422" i="1"/>
  <c r="A423" i="1"/>
  <c r="C423" i="1" s="1"/>
  <c r="F423" i="1"/>
  <c r="A424" i="1"/>
  <c r="C424" i="1" s="1"/>
  <c r="F424" i="1"/>
  <c r="A425" i="1"/>
  <c r="C425" i="1" s="1"/>
  <c r="F425" i="1"/>
  <c r="A426" i="1"/>
  <c r="C426" i="1" s="1"/>
  <c r="F426" i="1"/>
  <c r="A427" i="1"/>
  <c r="C427" i="1" s="1"/>
  <c r="F427" i="1"/>
  <c r="A428" i="1"/>
  <c r="C428" i="1" s="1"/>
  <c r="F428" i="1"/>
  <c r="A429" i="1"/>
  <c r="C429" i="1" s="1"/>
  <c r="F429" i="1"/>
  <c r="A430" i="1"/>
  <c r="C430" i="1" s="1"/>
  <c r="F430" i="1"/>
  <c r="A431" i="1"/>
  <c r="C431" i="1" s="1"/>
  <c r="F431" i="1"/>
  <c r="A432" i="1"/>
  <c r="C432" i="1" s="1"/>
  <c r="F432" i="1"/>
  <c r="A433" i="1"/>
  <c r="C433" i="1" s="1"/>
  <c r="F433" i="1"/>
  <c r="A434" i="1"/>
  <c r="A435" i="1"/>
  <c r="C435" i="1" s="1"/>
  <c r="F435" i="1"/>
  <c r="A436" i="1"/>
  <c r="C436" i="1" s="1"/>
  <c r="F436" i="1"/>
  <c r="A437" i="1"/>
  <c r="C437" i="1" s="1"/>
  <c r="F437" i="1"/>
  <c r="A438" i="1"/>
  <c r="C438" i="1" s="1"/>
  <c r="F438" i="1"/>
  <c r="A439" i="1"/>
  <c r="C439" i="1" s="1"/>
  <c r="F439" i="1"/>
  <c r="A440" i="1"/>
  <c r="C440" i="1" s="1"/>
  <c r="F440" i="1"/>
  <c r="A441" i="1"/>
  <c r="C441" i="1" s="1"/>
  <c r="F441" i="1"/>
  <c r="A442" i="1"/>
  <c r="C442" i="1" s="1"/>
  <c r="F442" i="1"/>
  <c r="A443" i="1"/>
  <c r="C443" i="1" s="1"/>
  <c r="F443" i="1"/>
  <c r="A444" i="1"/>
  <c r="C444" i="1" s="1"/>
  <c r="F444" i="1"/>
  <c r="A445" i="1"/>
  <c r="C445" i="1" s="1"/>
  <c r="F445" i="1"/>
  <c r="A446" i="1"/>
  <c r="C446" i="1" s="1"/>
  <c r="F446" i="1"/>
  <c r="A447" i="1"/>
  <c r="C447" i="1" s="1"/>
  <c r="F447" i="1"/>
  <c r="A448" i="1"/>
  <c r="C448" i="1" s="1"/>
  <c r="F448" i="1"/>
  <c r="A449" i="1"/>
  <c r="C449" i="1" s="1"/>
  <c r="F449" i="1"/>
  <c r="A450" i="1"/>
  <c r="C450" i="1" s="1"/>
  <c r="F450" i="1"/>
  <c r="A451" i="1"/>
  <c r="C451" i="1" s="1"/>
  <c r="F451" i="1"/>
  <c r="A452" i="1"/>
  <c r="C452" i="1" s="1"/>
  <c r="F452" i="1"/>
  <c r="A453" i="1"/>
  <c r="C453" i="1" s="1"/>
  <c r="F453" i="1"/>
  <c r="A454" i="1"/>
  <c r="C454" i="1" s="1"/>
  <c r="F454" i="1"/>
  <c r="A455" i="1"/>
  <c r="C455" i="1" s="1"/>
  <c r="F455" i="1"/>
  <c r="A456" i="1"/>
  <c r="C456" i="1" s="1"/>
  <c r="F456" i="1"/>
  <c r="A457" i="1"/>
  <c r="C457" i="1" s="1"/>
  <c r="F457" i="1"/>
  <c r="A458" i="1"/>
  <c r="C458" i="1" s="1"/>
  <c r="F458" i="1"/>
  <c r="A459" i="1"/>
  <c r="C459" i="1" s="1"/>
  <c r="F459" i="1"/>
  <c r="A460" i="1"/>
  <c r="C460" i="1" s="1"/>
  <c r="F460" i="1"/>
  <c r="A461" i="1"/>
  <c r="C461" i="1" s="1"/>
  <c r="F461" i="1"/>
  <c r="A462" i="1"/>
  <c r="C462" i="1" s="1"/>
  <c r="F462" i="1"/>
  <c r="A463" i="1"/>
  <c r="C463" i="1" s="1"/>
  <c r="F463" i="1"/>
  <c r="A464" i="1"/>
  <c r="C464" i="1" s="1"/>
  <c r="F464" i="1"/>
  <c r="A465" i="1"/>
  <c r="C465" i="1" s="1"/>
  <c r="F465" i="1"/>
  <c r="A466" i="1"/>
  <c r="C466" i="1" s="1"/>
  <c r="F466" i="1"/>
  <c r="A467" i="1"/>
  <c r="C467" i="1" s="1"/>
  <c r="F467" i="1"/>
  <c r="A468" i="1"/>
  <c r="C468" i="1" s="1"/>
  <c r="F468" i="1"/>
  <c r="A469" i="1"/>
  <c r="C469" i="1" s="1"/>
  <c r="F469" i="1"/>
  <c r="A470" i="1"/>
  <c r="C470" i="1" s="1"/>
  <c r="F470" i="1"/>
  <c r="A471" i="1"/>
  <c r="C471" i="1" s="1"/>
  <c r="F471" i="1"/>
  <c r="A472" i="1"/>
  <c r="C472" i="1" s="1"/>
  <c r="F472" i="1"/>
  <c r="A473" i="1"/>
  <c r="C473" i="1" s="1"/>
  <c r="F473" i="1"/>
  <c r="A474" i="1"/>
  <c r="C474" i="1" s="1"/>
  <c r="F474" i="1"/>
  <c r="A475" i="1"/>
  <c r="C475" i="1" s="1"/>
  <c r="F475" i="1"/>
  <c r="A476" i="1"/>
  <c r="C476" i="1" s="1"/>
  <c r="F476" i="1"/>
  <c r="A477" i="1"/>
  <c r="C477" i="1" s="1"/>
  <c r="F477" i="1"/>
  <c r="A478" i="1"/>
  <c r="C478" i="1" s="1"/>
  <c r="F478" i="1"/>
  <c r="A479" i="1"/>
  <c r="C479" i="1" s="1"/>
  <c r="F479" i="1"/>
  <c r="A480" i="1"/>
  <c r="C480" i="1" s="1"/>
  <c r="F480" i="1"/>
  <c r="A481" i="1"/>
  <c r="C481" i="1" s="1"/>
  <c r="F481" i="1"/>
  <c r="A482" i="1"/>
  <c r="C482" i="1" s="1"/>
  <c r="F482" i="1"/>
  <c r="A483" i="1"/>
  <c r="C483" i="1" s="1"/>
  <c r="F483" i="1"/>
  <c r="A484" i="1"/>
  <c r="C484" i="1" s="1"/>
  <c r="F484" i="1"/>
  <c r="A485" i="1"/>
  <c r="C485" i="1" s="1"/>
  <c r="F485" i="1"/>
  <c r="A486" i="1"/>
  <c r="C486" i="1" s="1"/>
  <c r="F486" i="1"/>
  <c r="A487" i="1"/>
  <c r="C487" i="1" s="1"/>
  <c r="F487" i="1"/>
  <c r="A488" i="1"/>
  <c r="C488" i="1" s="1"/>
  <c r="F488" i="1"/>
  <c r="A489" i="1"/>
  <c r="C489" i="1" s="1"/>
  <c r="F489" i="1"/>
  <c r="A490" i="1"/>
  <c r="C490" i="1" s="1"/>
  <c r="F490" i="1"/>
  <c r="A491" i="1"/>
  <c r="C491" i="1" s="1"/>
  <c r="F491" i="1"/>
  <c r="A492" i="1"/>
  <c r="C492" i="1" s="1"/>
  <c r="F492" i="1"/>
  <c r="A493" i="1"/>
  <c r="C493" i="1" s="1"/>
  <c r="F493" i="1"/>
  <c r="A494" i="1"/>
  <c r="C494" i="1" s="1"/>
  <c r="F494" i="1"/>
  <c r="A495" i="1"/>
  <c r="C495" i="1" s="1"/>
  <c r="F495" i="1"/>
  <c r="A496" i="1"/>
  <c r="C496" i="1" s="1"/>
  <c r="F496" i="1"/>
  <c r="A497" i="1"/>
  <c r="C497" i="1" s="1"/>
  <c r="F497" i="1"/>
  <c r="A498" i="1"/>
  <c r="C498" i="1" s="1"/>
  <c r="F498" i="1"/>
  <c r="A499" i="1"/>
  <c r="C499" i="1" s="1"/>
  <c r="F499" i="1"/>
  <c r="A500" i="1"/>
  <c r="C500" i="1" s="1"/>
  <c r="F500" i="1"/>
  <c r="A501" i="1"/>
  <c r="C501" i="1" s="1"/>
  <c r="F501" i="1"/>
  <c r="A502" i="1"/>
  <c r="C502" i="1" s="1"/>
  <c r="F502" i="1"/>
  <c r="A503" i="1"/>
  <c r="C503" i="1" s="1"/>
  <c r="F503" i="1"/>
  <c r="A504" i="1"/>
  <c r="C504" i="1" s="1"/>
  <c r="F504" i="1"/>
  <c r="A505" i="1"/>
  <c r="C505" i="1" s="1"/>
  <c r="F505" i="1"/>
  <c r="A506" i="1"/>
  <c r="C506" i="1" s="1"/>
  <c r="F506" i="1"/>
  <c r="A507" i="1"/>
  <c r="C507" i="1" s="1"/>
  <c r="F507" i="1"/>
  <c r="A508" i="1"/>
  <c r="C508" i="1" s="1"/>
  <c r="F508" i="1"/>
  <c r="A509" i="1"/>
  <c r="C509" i="1" s="1"/>
  <c r="F509" i="1"/>
  <c r="A510" i="1"/>
  <c r="C510" i="1" s="1"/>
  <c r="F510" i="1"/>
  <c r="A511" i="1"/>
  <c r="C511" i="1" s="1"/>
  <c r="F511" i="1"/>
  <c r="A512" i="1"/>
  <c r="C512" i="1" s="1"/>
  <c r="F512" i="1"/>
  <c r="A513" i="1"/>
  <c r="C513" i="1" s="1"/>
  <c r="F513" i="1"/>
  <c r="A514" i="1"/>
  <c r="C514" i="1" s="1"/>
  <c r="F514" i="1"/>
  <c r="A515" i="1"/>
  <c r="C515" i="1" s="1"/>
  <c r="F515" i="1"/>
  <c r="A516" i="1"/>
  <c r="C516" i="1" s="1"/>
  <c r="F516" i="1"/>
  <c r="A517" i="1"/>
  <c r="C517" i="1" s="1"/>
  <c r="F517" i="1"/>
  <c r="A518" i="1"/>
  <c r="C518" i="1" s="1"/>
  <c r="F518" i="1"/>
  <c r="A519" i="1"/>
  <c r="C519" i="1" s="1"/>
  <c r="F519" i="1"/>
  <c r="A520" i="1"/>
  <c r="C520" i="1" s="1"/>
  <c r="F520" i="1"/>
  <c r="A521" i="1"/>
  <c r="C521" i="1" s="1"/>
  <c r="F521" i="1"/>
  <c r="A522" i="1"/>
  <c r="C522" i="1" s="1"/>
  <c r="F522" i="1"/>
  <c r="A523" i="1"/>
  <c r="C523" i="1" s="1"/>
  <c r="F523" i="1"/>
  <c r="A524" i="1"/>
  <c r="C524" i="1" s="1"/>
  <c r="F524" i="1"/>
  <c r="A525" i="1"/>
  <c r="C525" i="1" s="1"/>
  <c r="F525" i="1"/>
  <c r="A526" i="1"/>
  <c r="C526" i="1" s="1"/>
  <c r="F526" i="1"/>
  <c r="A527" i="1"/>
  <c r="C527" i="1" s="1"/>
  <c r="F527" i="1"/>
  <c r="A528" i="1"/>
  <c r="C528" i="1" s="1"/>
  <c r="F528" i="1"/>
  <c r="A529" i="1"/>
  <c r="C529" i="1" s="1"/>
  <c r="F529" i="1"/>
  <c r="A530" i="1"/>
  <c r="C530" i="1" s="1"/>
  <c r="F530" i="1"/>
  <c r="A531" i="1"/>
  <c r="C531" i="1" s="1"/>
  <c r="F531" i="1"/>
  <c r="A532" i="1"/>
  <c r="C532" i="1" s="1"/>
  <c r="F532" i="1"/>
  <c r="A533" i="1"/>
  <c r="C533" i="1" s="1"/>
  <c r="F533" i="1"/>
  <c r="A534" i="1"/>
  <c r="C534" i="1" s="1"/>
  <c r="F534" i="1"/>
  <c r="A535" i="1"/>
  <c r="C535" i="1" s="1"/>
  <c r="F535" i="1"/>
  <c r="A536" i="1"/>
  <c r="C536" i="1" s="1"/>
  <c r="F536" i="1"/>
  <c r="A537" i="1"/>
  <c r="C537" i="1" s="1"/>
  <c r="F537" i="1"/>
  <c r="A538" i="1"/>
  <c r="C538" i="1" s="1"/>
  <c r="F538" i="1"/>
  <c r="A539" i="1"/>
  <c r="C539" i="1" s="1"/>
  <c r="F539" i="1"/>
  <c r="A540" i="1"/>
  <c r="C540" i="1" s="1"/>
  <c r="F540" i="1"/>
  <c r="A541" i="1"/>
  <c r="C541" i="1" s="1"/>
  <c r="F541" i="1"/>
  <c r="A542" i="1"/>
  <c r="C542" i="1" s="1"/>
  <c r="F542" i="1"/>
  <c r="A543" i="1"/>
  <c r="C543" i="1" s="1"/>
  <c r="F543" i="1"/>
  <c r="A544" i="1"/>
  <c r="C544" i="1" s="1"/>
  <c r="F544" i="1"/>
  <c r="A545" i="1"/>
  <c r="C545" i="1" s="1"/>
  <c r="F545" i="1"/>
  <c r="A546" i="1"/>
  <c r="C546" i="1" s="1"/>
  <c r="F546" i="1"/>
  <c r="A547" i="1"/>
  <c r="C547" i="1" s="1"/>
  <c r="F547" i="1"/>
  <c r="A548" i="1"/>
  <c r="C548" i="1" s="1"/>
  <c r="F548" i="1"/>
  <c r="A549" i="1"/>
  <c r="C549" i="1" s="1"/>
  <c r="F549" i="1"/>
  <c r="A550" i="1"/>
  <c r="C550" i="1" s="1"/>
  <c r="F550" i="1"/>
  <c r="A551" i="1"/>
  <c r="C551" i="1" s="1"/>
  <c r="F551" i="1"/>
  <c r="A552" i="1"/>
  <c r="C552" i="1" s="1"/>
  <c r="F552" i="1"/>
  <c r="A553" i="1"/>
  <c r="C553" i="1" s="1"/>
  <c r="F553" i="1"/>
  <c r="A554" i="1"/>
  <c r="C554" i="1" s="1"/>
  <c r="F554" i="1"/>
  <c r="A555" i="1"/>
  <c r="C555" i="1" s="1"/>
  <c r="F555" i="1"/>
  <c r="A556" i="1"/>
  <c r="C556" i="1" s="1"/>
  <c r="F556" i="1"/>
  <c r="A557" i="1"/>
  <c r="C557" i="1" s="1"/>
  <c r="F557" i="1"/>
  <c r="A558" i="1"/>
  <c r="C558" i="1" s="1"/>
  <c r="F558" i="1"/>
  <c r="A559" i="1"/>
  <c r="C559" i="1" s="1"/>
  <c r="F559" i="1"/>
  <c r="A560" i="1"/>
  <c r="C560" i="1" s="1"/>
  <c r="F560" i="1"/>
  <c r="A561" i="1"/>
  <c r="C561" i="1" s="1"/>
  <c r="F561" i="1"/>
  <c r="A562" i="1"/>
  <c r="C562" i="1" s="1"/>
  <c r="F562" i="1"/>
  <c r="A563" i="1"/>
  <c r="C563" i="1" s="1"/>
  <c r="F563" i="1"/>
  <c r="A564" i="1"/>
  <c r="C564" i="1" s="1"/>
  <c r="F564" i="1"/>
  <c r="A565" i="1"/>
  <c r="C565" i="1" s="1"/>
  <c r="F565" i="1"/>
  <c r="A566" i="1"/>
  <c r="C566" i="1" s="1"/>
  <c r="F566" i="1"/>
  <c r="A567" i="1"/>
  <c r="C567" i="1" s="1"/>
  <c r="F567" i="1"/>
  <c r="A568" i="1"/>
  <c r="C568" i="1" s="1"/>
  <c r="F568" i="1"/>
  <c r="A569" i="1"/>
  <c r="C569" i="1" s="1"/>
  <c r="F569" i="1"/>
  <c r="A570" i="1"/>
  <c r="C570" i="1" s="1"/>
  <c r="F570" i="1"/>
  <c r="A571" i="1"/>
  <c r="C571" i="1" s="1"/>
  <c r="F571" i="1"/>
  <c r="A572" i="1"/>
  <c r="C572" i="1" s="1"/>
  <c r="F572" i="1"/>
  <c r="A573" i="1"/>
  <c r="C573" i="1" s="1"/>
  <c r="F573" i="1"/>
  <c r="A574" i="1"/>
  <c r="C574" i="1" s="1"/>
  <c r="F574" i="1"/>
  <c r="A575" i="1"/>
  <c r="C575" i="1" s="1"/>
  <c r="F575" i="1"/>
  <c r="A576" i="1"/>
  <c r="C576" i="1" s="1"/>
  <c r="F576" i="1"/>
  <c r="A577" i="1"/>
  <c r="C577" i="1" s="1"/>
  <c r="F577" i="1"/>
  <c r="A578" i="1"/>
  <c r="A579" i="1"/>
  <c r="A580" i="1"/>
  <c r="C580" i="1" s="1"/>
  <c r="F580" i="1"/>
  <c r="A581" i="1"/>
  <c r="C581" i="1" s="1"/>
  <c r="F581" i="1"/>
  <c r="A582" i="1"/>
  <c r="C582" i="1" s="1"/>
  <c r="F582" i="1"/>
  <c r="A583" i="1"/>
  <c r="C583" i="1" s="1"/>
  <c r="F583" i="1"/>
  <c r="A584" i="1"/>
  <c r="C584" i="1" s="1"/>
  <c r="F584" i="1"/>
  <c r="A585" i="1"/>
  <c r="C585" i="1" s="1"/>
  <c r="F585" i="1"/>
  <c r="A586" i="1"/>
  <c r="C586" i="1" s="1"/>
  <c r="F586" i="1"/>
  <c r="A587" i="1"/>
  <c r="C587" i="1" s="1"/>
  <c r="F587" i="1"/>
  <c r="A588" i="1"/>
  <c r="C588" i="1" s="1"/>
  <c r="F588" i="1"/>
  <c r="A589" i="1"/>
  <c r="C589" i="1" s="1"/>
  <c r="F589" i="1"/>
  <c r="A590" i="1"/>
  <c r="C590" i="1" s="1"/>
  <c r="F590" i="1"/>
  <c r="A591" i="1"/>
  <c r="C591" i="1" s="1"/>
  <c r="F591" i="1"/>
  <c r="A592" i="1"/>
  <c r="C592" i="1" s="1"/>
  <c r="F592" i="1"/>
  <c r="A593" i="1"/>
  <c r="C593" i="1" s="1"/>
  <c r="F593" i="1"/>
  <c r="A594" i="1"/>
  <c r="C594" i="1" s="1"/>
  <c r="F594" i="1"/>
  <c r="A595" i="1"/>
  <c r="C595" i="1" s="1"/>
  <c r="F595" i="1"/>
  <c r="A596" i="1"/>
  <c r="C596" i="1" s="1"/>
  <c r="F596" i="1"/>
  <c r="A597" i="1"/>
  <c r="C597" i="1" s="1"/>
  <c r="F597" i="1"/>
  <c r="A598" i="1"/>
  <c r="C598" i="1" s="1"/>
  <c r="F598" i="1"/>
  <c r="A599" i="1"/>
  <c r="C599" i="1" s="1"/>
  <c r="F599" i="1"/>
  <c r="A600" i="1"/>
  <c r="C600" i="1" s="1"/>
  <c r="F600" i="1"/>
  <c r="A601" i="1"/>
  <c r="C601" i="1" s="1"/>
  <c r="F601" i="1"/>
  <c r="A602" i="1"/>
  <c r="C602" i="1" s="1"/>
  <c r="F602" i="1"/>
  <c r="A603" i="1"/>
  <c r="C603" i="1" s="1"/>
  <c r="F603" i="1"/>
  <c r="A604" i="1"/>
  <c r="C604" i="1" s="1"/>
  <c r="F604" i="1"/>
  <c r="A605" i="1"/>
  <c r="C605" i="1" s="1"/>
  <c r="F605" i="1"/>
  <c r="A606" i="1"/>
  <c r="C606" i="1" s="1"/>
  <c r="F606" i="1"/>
  <c r="A607" i="1"/>
  <c r="C607" i="1" s="1"/>
  <c r="F607" i="1"/>
  <c r="A608" i="1"/>
  <c r="C608" i="1" s="1"/>
  <c r="F608" i="1"/>
  <c r="A609" i="1"/>
  <c r="C609" i="1" s="1"/>
  <c r="F609" i="1"/>
  <c r="A610" i="1"/>
  <c r="C610" i="1" s="1"/>
  <c r="F610" i="1"/>
  <c r="A611" i="1"/>
  <c r="C611" i="1" s="1"/>
  <c r="F611" i="1"/>
  <c r="A612" i="1"/>
  <c r="C612" i="1" s="1"/>
  <c r="F612" i="1"/>
  <c r="A613" i="1"/>
  <c r="C613" i="1" s="1"/>
  <c r="F613" i="1"/>
  <c r="A614" i="1"/>
  <c r="C614" i="1" s="1"/>
  <c r="F614" i="1"/>
  <c r="A615" i="1"/>
  <c r="C615" i="1" s="1"/>
  <c r="F615" i="1"/>
  <c r="A616" i="1"/>
  <c r="C616" i="1" s="1"/>
  <c r="F616" i="1"/>
  <c r="A617" i="1"/>
  <c r="C617" i="1" s="1"/>
  <c r="F617" i="1"/>
  <c r="A618" i="1"/>
  <c r="C618" i="1" s="1"/>
  <c r="F618" i="1"/>
  <c r="A619" i="1"/>
  <c r="C619" i="1" s="1"/>
  <c r="F619" i="1"/>
  <c r="A620" i="1"/>
  <c r="C620" i="1" s="1"/>
  <c r="F620" i="1"/>
  <c r="A621" i="1"/>
  <c r="C621" i="1" s="1"/>
  <c r="F621" i="1"/>
  <c r="A622" i="1"/>
  <c r="C622" i="1" s="1"/>
  <c r="F622" i="1"/>
  <c r="A623" i="1"/>
  <c r="C623" i="1" s="1"/>
  <c r="F623" i="1"/>
  <c r="A624" i="1"/>
  <c r="C624" i="1" s="1"/>
  <c r="F624" i="1"/>
  <c r="A625" i="1"/>
  <c r="C625" i="1" s="1"/>
  <c r="F625" i="1"/>
  <c r="A626" i="1"/>
  <c r="C626" i="1" s="1"/>
  <c r="F626" i="1"/>
  <c r="A627" i="1"/>
  <c r="C627" i="1" s="1"/>
  <c r="F627" i="1"/>
  <c r="A628" i="1"/>
  <c r="C628" i="1" s="1"/>
  <c r="F628" i="1"/>
  <c r="A3" i="1"/>
  <c r="C3" i="1" s="1"/>
  <c r="A2" i="1"/>
  <c r="C2" i="1" s="1"/>
  <c r="C245" i="1" l="1"/>
  <c r="C247" i="1"/>
  <c r="C253" i="1"/>
  <c r="C310" i="1"/>
  <c r="C263" i="1"/>
  <c r="C268" i="1"/>
  <c r="C278" i="1"/>
  <c r="C266" i="1"/>
  <c r="C299" i="1"/>
  <c r="C234" i="1"/>
  <c r="C291" i="1"/>
  <c r="C293" i="1"/>
  <c r="C288" i="1"/>
</calcChain>
</file>

<file path=xl/sharedStrings.xml><?xml version="1.0" encoding="utf-8"?>
<sst xmlns="http://schemas.openxmlformats.org/spreadsheetml/2006/main" count="2709" uniqueCount="726">
  <si>
    <t>Opcode</t>
  </si>
  <si>
    <t>Mnemonic</t>
  </si>
  <si>
    <t>qualifier</t>
  </si>
  <si>
    <t>Mneumonic/Qualifier</t>
  </si>
  <si>
    <t>FunctionCode</t>
  </si>
  <si>
    <t>Architecture</t>
  </si>
  <si>
    <t>Format</t>
  </si>
  <si>
    <t>HALT</t>
  </si>
  <si>
    <t>Common</t>
  </si>
  <si>
    <t>PAL-Unprivileged</t>
  </si>
  <si>
    <t>CFLUSH</t>
  </si>
  <si>
    <t>PAL</t>
  </si>
  <si>
    <t>DRAINA</t>
  </si>
  <si>
    <t>LDQP</t>
  </si>
  <si>
    <t>Alpha</t>
  </si>
  <si>
    <t>REBOOT</t>
  </si>
  <si>
    <t>Tru64</t>
  </si>
  <si>
    <t>PAL-Tru64</t>
  </si>
  <si>
    <t>INITPAL</t>
  </si>
  <si>
    <t>STQP</t>
  </si>
  <si>
    <t>SWPCTX</t>
  </si>
  <si>
    <t>MFPR_ASN</t>
  </si>
  <si>
    <t>SWPIRQL</t>
  </si>
  <si>
    <t>MTPR_ASTEN</t>
  </si>
  <si>
    <t>RDIRQL</t>
  </si>
  <si>
    <t>MTPR_ASTSR</t>
  </si>
  <si>
    <t>DI</t>
  </si>
  <si>
    <t>CSERVE</t>
  </si>
  <si>
    <t>MFPR_MCES</t>
  </si>
  <si>
    <t>RDMCES</t>
  </si>
  <si>
    <t>MTPR_MCES</t>
  </si>
  <si>
    <t>WRMCES</t>
  </si>
  <si>
    <t>MFPR_PCBB</t>
  </si>
  <si>
    <t>RDPCBB</t>
  </si>
  <si>
    <t>MFPR_PRBR</t>
  </si>
  <si>
    <t>WRPRBR</t>
  </si>
  <si>
    <t>MTPR_PRBR</t>
  </si>
  <si>
    <t>TBIA</t>
  </si>
  <si>
    <t>MFPR_PTBR</t>
  </si>
  <si>
    <t>THIS</t>
  </si>
  <si>
    <t>DTBIS</t>
  </si>
  <si>
    <t>MTPR_SCBB</t>
  </si>
  <si>
    <t>TBISASN</t>
  </si>
  <si>
    <t>MTPR_SIRR</t>
  </si>
  <si>
    <t>RDKSP</t>
  </si>
  <si>
    <t>MFPR_SISR</t>
  </si>
  <si>
    <t>SWPKSP</t>
  </si>
  <si>
    <t>MFPR_SSP</t>
  </si>
  <si>
    <t>WRPERFMON</t>
  </si>
  <si>
    <t>MTPR_SSP</t>
  </si>
  <si>
    <t>SWPIPL</t>
  </si>
  <si>
    <t>MFPR_USP</t>
  </si>
  <si>
    <t>RDUSP</t>
  </si>
  <si>
    <t>MTPR_USP</t>
  </si>
  <si>
    <t>WRUSP</t>
  </si>
  <si>
    <t>MTPR_TBISD</t>
  </si>
  <si>
    <t>MTPR_TBISI</t>
  </si>
  <si>
    <t>MFPR_ASTEN</t>
  </si>
  <si>
    <t>MFPR_ASTSR</t>
  </si>
  <si>
    <t>MFPR_VPTB</t>
  </si>
  <si>
    <t>RDCOUNTERS</t>
  </si>
  <si>
    <t>WRVAL</t>
  </si>
  <si>
    <t>RDVAL</t>
  </si>
  <si>
    <t>TBI</t>
  </si>
  <si>
    <t>WRENT</t>
  </si>
  <si>
    <t>RDPS</t>
  </si>
  <si>
    <t>WRKGP</t>
  </si>
  <si>
    <t>BPT</t>
  </si>
  <si>
    <t>BUGCHK</t>
  </si>
  <si>
    <t>CHME</t>
  </si>
  <si>
    <t>CHMK</t>
  </si>
  <si>
    <t>CALLSYS</t>
  </si>
  <si>
    <t>CHMS</t>
  </si>
  <si>
    <t>CHMU</t>
  </si>
  <si>
    <t>IMB</t>
  </si>
  <si>
    <t>INSQHIL</t>
  </si>
  <si>
    <t>INSQTIL</t>
  </si>
  <si>
    <t>INSQHIQ</t>
  </si>
  <si>
    <t>PROBEW</t>
  </si>
  <si>
    <t>RD_PS</t>
  </si>
  <si>
    <t>REI</t>
  </si>
  <si>
    <t>REMQHIL</t>
  </si>
  <si>
    <t>REMQTIL</t>
  </si>
  <si>
    <t>REMQHIQ</t>
  </si>
  <si>
    <t>REMQTIQ</t>
  </si>
  <si>
    <t>REMQUEL</t>
  </si>
  <si>
    <t>REMQUEQ</t>
  </si>
  <si>
    <t>REMQUEUD</t>
  </si>
  <si>
    <t>SWPPAL</t>
  </si>
  <si>
    <t>000A</t>
  </si>
  <si>
    <t>MFPR_FEN</t>
  </si>
  <si>
    <t>000B</t>
  </si>
  <si>
    <t>MTPR_FEN</t>
  </si>
  <si>
    <t>000C</t>
  </si>
  <si>
    <t>SSIR</t>
  </si>
  <si>
    <t>MTPR_IPIR</t>
  </si>
  <si>
    <t>000D</t>
  </si>
  <si>
    <t>WRIPIR</t>
  </si>
  <si>
    <t>MFPR_IPL</t>
  </si>
  <si>
    <t>000E</t>
  </si>
  <si>
    <t>RFE</t>
  </si>
  <si>
    <t>MTPR_IPL</t>
  </si>
  <si>
    <t>000F</t>
  </si>
  <si>
    <t>RETSYS</t>
  </si>
  <si>
    <t>MFPR_TBCHK</t>
  </si>
  <si>
    <t>001A</t>
  </si>
  <si>
    <t>RDPSR</t>
  </si>
  <si>
    <t>MTPR_TBIA</t>
  </si>
  <si>
    <t>001B</t>
  </si>
  <si>
    <t>MTPR_TBIAP</t>
  </si>
  <si>
    <t>001C</t>
  </si>
  <si>
    <t>RDPER</t>
  </si>
  <si>
    <t>MTPR_TBIS</t>
  </si>
  <si>
    <t>001D</t>
  </si>
  <si>
    <t>MFPR_ESP</t>
  </si>
  <si>
    <t>001E</t>
  </si>
  <si>
    <t>RDTHREAD</t>
  </si>
  <si>
    <t>MTPR_ESP</t>
  </si>
  <si>
    <t>001F</t>
  </si>
  <si>
    <t>MTPR_VPTB</t>
  </si>
  <si>
    <t>002A</t>
  </si>
  <si>
    <t>MTPR_PERFMON</t>
  </si>
  <si>
    <t>002B</t>
  </si>
  <si>
    <t>WRFEN</t>
  </si>
  <si>
    <t>WRVPTPTR</t>
  </si>
  <si>
    <t>002D</t>
  </si>
  <si>
    <t>MTPR_DATFX</t>
  </si>
  <si>
    <t>002E</t>
  </si>
  <si>
    <t>003A</t>
  </si>
  <si>
    <t>WHAMI</t>
  </si>
  <si>
    <t>003C</t>
  </si>
  <si>
    <t>003D</t>
  </si>
  <si>
    <t>MFPR_WHAMI</t>
  </si>
  <si>
    <t>003F</t>
  </si>
  <si>
    <t>RTI</t>
  </si>
  <si>
    <t>INSQTIQ</t>
  </si>
  <si>
    <t>008A</t>
  </si>
  <si>
    <t>INSQUEL</t>
  </si>
  <si>
    <t>008B</t>
  </si>
  <si>
    <t>INSQUEQ</t>
  </si>
  <si>
    <t>008C</t>
  </si>
  <si>
    <t>008D</t>
  </si>
  <si>
    <t>008E</t>
  </si>
  <si>
    <t>PROBER</t>
  </si>
  <si>
    <t>008F</t>
  </si>
  <si>
    <t>REMQUEQ/D</t>
  </si>
  <si>
    <t>009A</t>
  </si>
  <si>
    <t>SWASTEN</t>
  </si>
  <si>
    <t>009B</t>
  </si>
  <si>
    <t>WR_PS_SW</t>
  </si>
  <si>
    <t>009C</t>
  </si>
  <si>
    <t>RSCC</t>
  </si>
  <si>
    <t>009D</t>
  </si>
  <si>
    <t>READ_UNQ</t>
  </si>
  <si>
    <t>009E</t>
  </si>
  <si>
    <t>Mem-Barrier</t>
  </si>
  <si>
    <t>RDUNIQUE</t>
  </si>
  <si>
    <t>WRITE_UNQ</t>
  </si>
  <si>
    <t>009F</t>
  </si>
  <si>
    <t>WRUNIQUE</t>
  </si>
  <si>
    <t>AMOVRR</t>
  </si>
  <si>
    <t>00A0</t>
  </si>
  <si>
    <t>AMOVRM</t>
  </si>
  <si>
    <t>00A1</t>
  </si>
  <si>
    <t>INSQHILR</t>
  </si>
  <si>
    <t>00A2</t>
  </si>
  <si>
    <t>INSQTILR</t>
  </si>
  <si>
    <t>00A3</t>
  </si>
  <si>
    <t>INSQHIQR</t>
  </si>
  <si>
    <t>00A4</t>
  </si>
  <si>
    <t>INSQTIQR</t>
  </si>
  <si>
    <t>00A5</t>
  </si>
  <si>
    <t>REMQHILR</t>
  </si>
  <si>
    <t>00A6</t>
  </si>
  <si>
    <t>REMQTILR</t>
  </si>
  <si>
    <t>00A7</t>
  </si>
  <si>
    <t>REMQTIQR</t>
  </si>
  <si>
    <t>00A9</t>
  </si>
  <si>
    <t>GENTRAP</t>
  </si>
  <si>
    <t>00AA</t>
  </si>
  <si>
    <t>RDTEB</t>
  </si>
  <si>
    <t>00AB</t>
  </si>
  <si>
    <t>KBPT</t>
  </si>
  <si>
    <t>00AC</t>
  </si>
  <si>
    <t>CALLKD</t>
  </si>
  <si>
    <t>00AD</t>
  </si>
  <si>
    <t>04</t>
  </si>
  <si>
    <t>WRENTRY</t>
  </si>
  <si>
    <t>05</t>
  </si>
  <si>
    <t>06</t>
  </si>
  <si>
    <t>07</t>
  </si>
  <si>
    <t>08</t>
  </si>
  <si>
    <t>EI</t>
  </si>
  <si>
    <t>09</t>
  </si>
  <si>
    <t>0A</t>
  </si>
  <si>
    <t>CSIR</t>
  </si>
  <si>
    <t>0D</t>
  </si>
  <si>
    <t>0E</t>
  </si>
  <si>
    <t>0F</t>
  </si>
  <si>
    <t>RESTART</t>
  </si>
  <si>
    <t>1</t>
  </si>
  <si>
    <t>SWPPROCESS</t>
  </si>
  <si>
    <t xml:space="preserve">11 </t>
  </si>
  <si>
    <t>12</t>
  </si>
  <si>
    <t>13</t>
  </si>
  <si>
    <t>14</t>
  </si>
  <si>
    <t xml:space="preserve">TBIS </t>
  </si>
  <si>
    <t>15</t>
  </si>
  <si>
    <t>17</t>
  </si>
  <si>
    <t>18</t>
  </si>
  <si>
    <t xml:space="preserve">19 </t>
  </si>
  <si>
    <t>1A</t>
  </si>
  <si>
    <t>2</t>
  </si>
  <si>
    <t>20</t>
  </si>
  <si>
    <t>83</t>
  </si>
  <si>
    <t>AB</t>
  </si>
  <si>
    <t>CALL_PAL</t>
  </si>
  <si>
    <t xml:space="preserve"> </t>
  </si>
  <si>
    <t>PALCode</t>
  </si>
  <si>
    <t>SSW</t>
  </si>
  <si>
    <t>OPC01</t>
  </si>
  <si>
    <t>Pal</t>
  </si>
  <si>
    <t>Reserved</t>
  </si>
  <si>
    <t>OPC02</t>
  </si>
  <si>
    <t>OPC03</t>
  </si>
  <si>
    <t>OPC04</t>
  </si>
  <si>
    <t>OPC05</t>
  </si>
  <si>
    <t>OPC06</t>
  </si>
  <si>
    <t>OPC07</t>
  </si>
  <si>
    <t>LDA</t>
  </si>
  <si>
    <t>Mem</t>
  </si>
  <si>
    <t>LDAH</t>
  </si>
  <si>
    <t>0B</t>
  </si>
  <si>
    <t>LDQ_U</t>
  </si>
  <si>
    <t>STQ_U</t>
  </si>
  <si>
    <t>ADDL</t>
  </si>
  <si>
    <t>Opr</t>
  </si>
  <si>
    <t>Vector</t>
  </si>
  <si>
    <t>ADDQ</t>
  </si>
  <si>
    <t>CMPBGE</t>
  </si>
  <si>
    <t>Floating-Point</t>
  </si>
  <si>
    <t>CMPEQ</t>
  </si>
  <si>
    <t>2D</t>
  </si>
  <si>
    <t>CMPLE</t>
  </si>
  <si>
    <t>6D</t>
  </si>
  <si>
    <t>CMPLT</t>
  </si>
  <si>
    <t>4D</t>
  </si>
  <si>
    <t>CMPULE</t>
  </si>
  <si>
    <t>3D</t>
  </si>
  <si>
    <t>CMPULT</t>
  </si>
  <si>
    <t>1D</t>
  </si>
  <si>
    <t>S4ADDL</t>
  </si>
  <si>
    <t>S4ADDQ</t>
  </si>
  <si>
    <t>S4SUBL</t>
  </si>
  <si>
    <t>S4SUBQ</t>
  </si>
  <si>
    <t>2B</t>
  </si>
  <si>
    <t>S8ADDL</t>
  </si>
  <si>
    <t>S8ADDQ</t>
  </si>
  <si>
    <t>S8SUBL</t>
  </si>
  <si>
    <t>1B</t>
  </si>
  <si>
    <t>S8SUBQ</t>
  </si>
  <si>
    <t>3B</t>
  </si>
  <si>
    <t>SUBL</t>
  </si>
  <si>
    <t>V</t>
  </si>
  <si>
    <t>SUBQ</t>
  </si>
  <si>
    <t>AND</t>
  </si>
  <si>
    <t>BIC</t>
  </si>
  <si>
    <t>CMOVLBS</t>
  </si>
  <si>
    <t>CMOVLBC</t>
  </si>
  <si>
    <t>BIS</t>
  </si>
  <si>
    <t>CMOVEQ</t>
  </si>
  <si>
    <t>CMOVNE</t>
  </si>
  <si>
    <t>ORNOT</t>
  </si>
  <si>
    <t>XOR</t>
  </si>
  <si>
    <t>opr</t>
  </si>
  <si>
    <t>CMOVLT</t>
  </si>
  <si>
    <t>CMOVGE</t>
  </si>
  <si>
    <t>EQV</t>
  </si>
  <si>
    <t>CMOVLE</t>
  </si>
  <si>
    <t>CMOVGT</t>
  </si>
  <si>
    <t>MSKBL</t>
  </si>
  <si>
    <t>EXTBL</t>
  </si>
  <si>
    <t>MSKWL</t>
  </si>
  <si>
    <t>EXTWL</t>
  </si>
  <si>
    <t>MSKLL</t>
  </si>
  <si>
    <t>EXTLL</t>
  </si>
  <si>
    <t>ZAP</t>
  </si>
  <si>
    <t>ZAPNOT</t>
  </si>
  <si>
    <t>MSKQL</t>
  </si>
  <si>
    <t>SRL</t>
  </si>
  <si>
    <t>EXTQL</t>
  </si>
  <si>
    <t>SLL</t>
  </si>
  <si>
    <t>MSKWH</t>
  </si>
  <si>
    <t>INSWH</t>
  </si>
  <si>
    <t>MSKLH</t>
  </si>
  <si>
    <t>INSLH</t>
  </si>
  <si>
    <t>MSKQH</t>
  </si>
  <si>
    <t>INSQH</t>
  </si>
  <si>
    <t>INSBL</t>
  </si>
  <si>
    <t>INSWL</t>
  </si>
  <si>
    <t>INSLL</t>
  </si>
  <si>
    <t>INSQL</t>
  </si>
  <si>
    <t>SRA</t>
  </si>
  <si>
    <t>3C</t>
  </si>
  <si>
    <t>EXTWH</t>
  </si>
  <si>
    <t>5A</t>
  </si>
  <si>
    <t>EXTLH</t>
  </si>
  <si>
    <t>6A</t>
  </si>
  <si>
    <t>EXTQH</t>
  </si>
  <si>
    <t>7A</t>
  </si>
  <si>
    <t>MULL</t>
  </si>
  <si>
    <t>MULQ</t>
  </si>
  <si>
    <t>UMULH</t>
  </si>
  <si>
    <t>MULLN</t>
  </si>
  <si>
    <t>MULQN</t>
  </si>
  <si>
    <t>CVTGQ</t>
  </si>
  <si>
    <t>0AF</t>
  </si>
  <si>
    <t>VAX</t>
  </si>
  <si>
    <t>SQRTF</t>
  </si>
  <si>
    <t>UC</t>
  </si>
  <si>
    <t>IEEE</t>
  </si>
  <si>
    <t>Floating-point square-root (single, UC rounding)</t>
  </si>
  <si>
    <t>SQRTS</t>
  </si>
  <si>
    <t>Floating-point square-root (single→double, UC rounding)</t>
  </si>
  <si>
    <t>SQRTG</t>
  </si>
  <si>
    <t>Floating-point square-root (double→quad, UC rounding)</t>
  </si>
  <si>
    <t>SQRTT</t>
  </si>
  <si>
    <t>Floating-point square-root (quad→double, UC rounding)</t>
  </si>
  <si>
    <t>UM</t>
  </si>
  <si>
    <t>Floating-point square-root (single→double, UM rounding)</t>
  </si>
  <si>
    <t>Floating-point square-root (quad→double, UM rounding)</t>
  </si>
  <si>
    <t>U</t>
  </si>
  <si>
    <t>Floating-point square-root (single, U rounding)</t>
  </si>
  <si>
    <t>Floating-point square-root (single→double, U rounding)</t>
  </si>
  <si>
    <t>Floating-point square-root (double→quad, U rounding)</t>
  </si>
  <si>
    <t>Floating-point square-root (quad→double, U rounding)</t>
  </si>
  <si>
    <t>UD</t>
  </si>
  <si>
    <t>Floating-point square-root (single→double, UD rounding)</t>
  </si>
  <si>
    <t>Floating-point square-root (quad→double, UD rounding)</t>
  </si>
  <si>
    <t>SC</t>
  </si>
  <si>
    <t>Floating-point square-root (single, SC rounding)</t>
  </si>
  <si>
    <t>Floating-point square-root (double→quad, SC rounding)</t>
  </si>
  <si>
    <t>S</t>
  </si>
  <si>
    <t>Floating-point square-root (single, S rounding)</t>
  </si>
  <si>
    <t>Floating-point square-root (double→quad, S rounding)</t>
  </si>
  <si>
    <t>SUC</t>
  </si>
  <si>
    <t>Floating-point square-root (single, SUC rounding)</t>
  </si>
  <si>
    <t>Floating-point square-root (single→double, SUC rounding)</t>
  </si>
  <si>
    <t>Floating-point square-root (double→quad, SUC rounding)</t>
  </si>
  <si>
    <t>Floating-point square-root (quad→double, SUC rounding)</t>
  </si>
  <si>
    <t>SUM</t>
  </si>
  <si>
    <t>Floating-point square-root (single→double, SUM rounding)</t>
  </si>
  <si>
    <t>Floating-point square-root (quad→double, SUM rounding)</t>
  </si>
  <si>
    <t>SU</t>
  </si>
  <si>
    <t>Floating-point square-root (single, SU rounding)</t>
  </si>
  <si>
    <t>Floating-point square-root (single→double, SU rounding)</t>
  </si>
  <si>
    <t>Floating-point square-root (double→quad, SU rounding)</t>
  </si>
  <si>
    <t>Floating-point square-root (quad→double, SU rounding)</t>
  </si>
  <si>
    <t>SUD</t>
  </si>
  <si>
    <t>Floating-point square-root (single→double, SUD rounding)</t>
  </si>
  <si>
    <t>Floating-point square-root (quad→double, SUD rounding)</t>
  </si>
  <si>
    <t>SUIC</t>
  </si>
  <si>
    <t>Floating-point square-root (single→double, SUIC rounding)</t>
  </si>
  <si>
    <t>Floating-point square-root (quad→double, SUIC rounding)</t>
  </si>
  <si>
    <t>SUIM</t>
  </si>
  <si>
    <t>Floating-point square-root (single→double, SUIM rounding)</t>
  </si>
  <si>
    <t>Floating-point square-root (quad→double, SUIM rounding)</t>
  </si>
  <si>
    <t>SUI</t>
  </si>
  <si>
    <t>Floating-point square-root (single→double, SUI rounding)</t>
  </si>
  <si>
    <t>Floating-point square-root (quad→double, SUI rounding)</t>
  </si>
  <si>
    <t>SUID</t>
  </si>
  <si>
    <t>Floating-point square-root (single→double, SUID rounding)</t>
  </si>
  <si>
    <t>Floating-point square-root (quad→double, SUID rounding)</t>
  </si>
  <si>
    <t>ADDF</t>
  </si>
  <si>
    <t>SUBF</t>
  </si>
  <si>
    <t>MULF</t>
  </si>
  <si>
    <t>DIVF</t>
  </si>
  <si>
    <t>IC</t>
  </si>
  <si>
    <t>002</t>
  </si>
  <si>
    <t>003</t>
  </si>
  <si>
    <t>CVTDG</t>
  </si>
  <si>
    <t>01E</t>
  </si>
  <si>
    <t>ADDG</t>
  </si>
  <si>
    <t>020</t>
  </si>
  <si>
    <t>SUBG</t>
  </si>
  <si>
    <t>021</t>
  </si>
  <si>
    <t>MULG</t>
  </si>
  <si>
    <t>022</t>
  </si>
  <si>
    <t>DIVG</t>
  </si>
  <si>
    <t>023</t>
  </si>
  <si>
    <t>CVTGF</t>
  </si>
  <si>
    <t>02C</t>
  </si>
  <si>
    <t>CVTGD</t>
  </si>
  <si>
    <t>02D</t>
  </si>
  <si>
    <t>02F</t>
  </si>
  <si>
    <t>CVTBQ</t>
  </si>
  <si>
    <t>C</t>
  </si>
  <si>
    <t>CVTQF</t>
  </si>
  <si>
    <t>03C</t>
  </si>
  <si>
    <t>CVTQG</t>
  </si>
  <si>
    <t>03E</t>
  </si>
  <si>
    <t>080</t>
  </si>
  <si>
    <t>081</t>
  </si>
  <si>
    <t>082</t>
  </si>
  <si>
    <t>09E</t>
  </si>
  <si>
    <t>0A0</t>
  </si>
  <si>
    <t>0A1</t>
  </si>
  <si>
    <t>0A2</t>
  </si>
  <si>
    <t>0A3</t>
  </si>
  <si>
    <t>CMPGEQ</t>
  </si>
  <si>
    <t>0A5</t>
  </si>
  <si>
    <t>CMPGLT</t>
  </si>
  <si>
    <t>0A6</t>
  </si>
  <si>
    <t>CMPGLE</t>
  </si>
  <si>
    <t>0A7</t>
  </si>
  <si>
    <t>0AC</t>
  </si>
  <si>
    <t>0AD</t>
  </si>
  <si>
    <t>Common_Vax</t>
  </si>
  <si>
    <t>0BC</t>
  </si>
  <si>
    <t>0BE</t>
  </si>
  <si>
    <t>100</t>
  </si>
  <si>
    <t>101</t>
  </si>
  <si>
    <t>102</t>
  </si>
  <si>
    <t>103</t>
  </si>
  <si>
    <t>11E</t>
  </si>
  <si>
    <t>120</t>
  </si>
  <si>
    <t>121</t>
  </si>
  <si>
    <t>122</t>
  </si>
  <si>
    <t>123</t>
  </si>
  <si>
    <t>12C</t>
  </si>
  <si>
    <t>12D</t>
  </si>
  <si>
    <t>NC</t>
  </si>
  <si>
    <t>12F</t>
  </si>
  <si>
    <t>180</t>
  </si>
  <si>
    <t>181</t>
  </si>
  <si>
    <t>182</t>
  </si>
  <si>
    <t>183</t>
  </si>
  <si>
    <t>19E</t>
  </si>
  <si>
    <t>1A0</t>
  </si>
  <si>
    <t>1A1</t>
  </si>
  <si>
    <t>1A2</t>
  </si>
  <si>
    <t>1A3</t>
  </si>
  <si>
    <t>1AC</t>
  </si>
  <si>
    <t>1AD</t>
  </si>
  <si>
    <t>1AF</t>
  </si>
  <si>
    <t>400</t>
  </si>
  <si>
    <t>401</t>
  </si>
  <si>
    <t>402</t>
  </si>
  <si>
    <t>403</t>
  </si>
  <si>
    <t>41E</t>
  </si>
  <si>
    <t>420</t>
  </si>
  <si>
    <t>421</t>
  </si>
  <si>
    <t>422</t>
  </si>
  <si>
    <t>423</t>
  </si>
  <si>
    <t>42C</t>
  </si>
  <si>
    <t>42D</t>
  </si>
  <si>
    <t>42F</t>
  </si>
  <si>
    <t>IS</t>
  </si>
  <si>
    <t>480</t>
  </si>
  <si>
    <t>481</t>
  </si>
  <si>
    <t>482</t>
  </si>
  <si>
    <t>483</t>
  </si>
  <si>
    <t>49E</t>
  </si>
  <si>
    <t>4A0</t>
  </si>
  <si>
    <t>4A1</t>
  </si>
  <si>
    <t>4A2</t>
  </si>
  <si>
    <t>4A3</t>
  </si>
  <si>
    <t>4A5</t>
  </si>
  <si>
    <t>4A6</t>
  </si>
  <si>
    <t>4A7</t>
  </si>
  <si>
    <t>4AC</t>
  </si>
  <si>
    <t>4AD</t>
  </si>
  <si>
    <t>4AF</t>
  </si>
  <si>
    <t>500</t>
  </si>
  <si>
    <t>501</t>
  </si>
  <si>
    <t>502</t>
  </si>
  <si>
    <t>503</t>
  </si>
  <si>
    <t>51E</t>
  </si>
  <si>
    <t>520</t>
  </si>
  <si>
    <t>521</t>
  </si>
  <si>
    <t>522</t>
  </si>
  <si>
    <t>523</t>
  </si>
  <si>
    <t>52C</t>
  </si>
  <si>
    <t>52D</t>
  </si>
  <si>
    <t>SVC</t>
  </si>
  <si>
    <t>52F</t>
  </si>
  <si>
    <t>580</t>
  </si>
  <si>
    <t>581</t>
  </si>
  <si>
    <t>582</t>
  </si>
  <si>
    <t>583</t>
  </si>
  <si>
    <t>59E</t>
  </si>
  <si>
    <t>5A0</t>
  </si>
  <si>
    <t>5A1</t>
  </si>
  <si>
    <t>5A2</t>
  </si>
  <si>
    <t>5A3</t>
  </si>
  <si>
    <t>5AC</t>
  </si>
  <si>
    <t>5AD</t>
  </si>
  <si>
    <t>SV</t>
  </si>
  <si>
    <t>5AF</t>
  </si>
  <si>
    <t>SUBS</t>
  </si>
  <si>
    <t>MULS</t>
  </si>
  <si>
    <t>DIVS</t>
  </si>
  <si>
    <t>SUBT</t>
  </si>
  <si>
    <t>MULT</t>
  </si>
  <si>
    <t>DIVT</t>
  </si>
  <si>
    <t>ADDS</t>
  </si>
  <si>
    <t>M</t>
  </si>
  <si>
    <t>ADDT</t>
  </si>
  <si>
    <t>CVTTS</t>
  </si>
  <si>
    <t>CVTTQ</t>
  </si>
  <si>
    <t>CVTQS</t>
  </si>
  <si>
    <t>CVTQT</t>
  </si>
  <si>
    <t>06C</t>
  </si>
  <si>
    <t>06F</t>
  </si>
  <si>
    <t>07C</t>
  </si>
  <si>
    <t>CMPTUN</t>
  </si>
  <si>
    <t>0A4</t>
  </si>
  <si>
    <t>CMPTEQ</t>
  </si>
  <si>
    <t>CMPTLT</t>
  </si>
  <si>
    <t>CMPTLE</t>
  </si>
  <si>
    <t>D</t>
  </si>
  <si>
    <t>0C0</t>
  </si>
  <si>
    <t>0E0</t>
  </si>
  <si>
    <t>0E1</t>
  </si>
  <si>
    <t>0E2</t>
  </si>
  <si>
    <t>0E3</t>
  </si>
  <si>
    <t>0EC</t>
  </si>
  <si>
    <t>0EF</t>
  </si>
  <si>
    <t>0FC</t>
  </si>
  <si>
    <t>VC</t>
  </si>
  <si>
    <t>16C</t>
  </si>
  <si>
    <t>VM</t>
  </si>
  <si>
    <t>16F</t>
  </si>
  <si>
    <t>1C0</t>
  </si>
  <si>
    <t>Alpha/IEEE</t>
  </si>
  <si>
    <t>1C1</t>
  </si>
  <si>
    <t>1C2</t>
  </si>
  <si>
    <t>1E2</t>
  </si>
  <si>
    <t>1E3</t>
  </si>
  <si>
    <t>1EC</t>
  </si>
  <si>
    <t>VD</t>
  </si>
  <si>
    <t>CVTST</t>
  </si>
  <si>
    <t>2AC</t>
  </si>
  <si>
    <t>56C</t>
  </si>
  <si>
    <t>SVM</t>
  </si>
  <si>
    <t>56F</t>
  </si>
  <si>
    <t>5A4</t>
  </si>
  <si>
    <t>5A5</t>
  </si>
  <si>
    <t>5A6</t>
  </si>
  <si>
    <t>5A7</t>
  </si>
  <si>
    <t>5C0</t>
  </si>
  <si>
    <t>5C1</t>
  </si>
  <si>
    <t>5C2</t>
  </si>
  <si>
    <t>5E0</t>
  </si>
  <si>
    <t>5E1</t>
  </si>
  <si>
    <t>5E2</t>
  </si>
  <si>
    <t>5E3</t>
  </si>
  <si>
    <t>5EC</t>
  </si>
  <si>
    <t>SVD</t>
  </si>
  <si>
    <t>5EF</t>
  </si>
  <si>
    <t>6AC</t>
  </si>
  <si>
    <t>72C</t>
  </si>
  <si>
    <t>SVIC</t>
  </si>
  <si>
    <t>72F</t>
  </si>
  <si>
    <t>76C</t>
  </si>
  <si>
    <t>SVIM</t>
  </si>
  <si>
    <t>76F</t>
  </si>
  <si>
    <t>7A0</t>
  </si>
  <si>
    <t>7A1</t>
  </si>
  <si>
    <t>7A2</t>
  </si>
  <si>
    <t>7A3</t>
  </si>
  <si>
    <t>7AC</t>
  </si>
  <si>
    <t>SVI</t>
  </si>
  <si>
    <t>7AF</t>
  </si>
  <si>
    <t>7BC</t>
  </si>
  <si>
    <t>7C0</t>
  </si>
  <si>
    <t>7C1</t>
  </si>
  <si>
    <t>7C2</t>
  </si>
  <si>
    <t>7E0</t>
  </si>
  <si>
    <t>7E1</t>
  </si>
  <si>
    <t>7E2</t>
  </si>
  <si>
    <t>7E3</t>
  </si>
  <si>
    <t>7EC</t>
  </si>
  <si>
    <t>SVID</t>
  </si>
  <si>
    <t>7EF</t>
  </si>
  <si>
    <t>CVTLQ</t>
  </si>
  <si>
    <t>CPYS</t>
  </si>
  <si>
    <t>CPYSN</t>
  </si>
  <si>
    <t>CPYSE</t>
  </si>
  <si>
    <t>MT_FPCR</t>
  </si>
  <si>
    <t>MF_FPCR</t>
  </si>
  <si>
    <t>CVTQL</t>
  </si>
  <si>
    <t>FCMOVEQ</t>
  </si>
  <si>
    <t>02A</t>
  </si>
  <si>
    <t>FCMOVNE</t>
  </si>
  <si>
    <t>02B</t>
  </si>
  <si>
    <t>FCMOVLT</t>
  </si>
  <si>
    <t>FCMOVGE</t>
  </si>
  <si>
    <t>FCMOVLE</t>
  </si>
  <si>
    <t>02E</t>
  </si>
  <si>
    <t>FCMOVGT</t>
  </si>
  <si>
    <t>TRAPB</t>
  </si>
  <si>
    <t>Mem-Func-Code</t>
  </si>
  <si>
    <t>EXCB</t>
  </si>
  <si>
    <t>MB</t>
  </si>
  <si>
    <t>WMB</t>
  </si>
  <si>
    <t>FETCH</t>
  </si>
  <si>
    <t>FETCH_M</t>
  </si>
  <si>
    <t>A000</t>
  </si>
  <si>
    <t>RPCC</t>
  </si>
  <si>
    <t>C000</t>
  </si>
  <si>
    <t>RC</t>
  </si>
  <si>
    <t>E000</t>
  </si>
  <si>
    <t>ECB</t>
  </si>
  <si>
    <t>RS</t>
  </si>
  <si>
    <t>F000</t>
  </si>
  <si>
    <t>PAL19</t>
  </si>
  <si>
    <t>JMP</t>
  </si>
  <si>
    <t>JSR</t>
  </si>
  <si>
    <t>RET</t>
  </si>
  <si>
    <t>JSR_COROUTINE</t>
  </si>
  <si>
    <t>PAL1B</t>
  </si>
  <si>
    <t>PAL1D</t>
  </si>
  <si>
    <t>1E</t>
  </si>
  <si>
    <t>PAL1E</t>
  </si>
  <si>
    <t>1F</t>
  </si>
  <si>
    <t>PAL1F</t>
  </si>
  <si>
    <t>LDF</t>
  </si>
  <si>
    <t>LDG</t>
  </si>
  <si>
    <t>LDS</t>
  </si>
  <si>
    <t>LDT</t>
  </si>
  <si>
    <t>STF</t>
  </si>
  <si>
    <t>STG</t>
  </si>
  <si>
    <t>STS</t>
  </si>
  <si>
    <t>STT</t>
  </si>
  <si>
    <t>LDL</t>
  </si>
  <si>
    <t>LDQ</t>
  </si>
  <si>
    <t>2A</t>
  </si>
  <si>
    <t>LDL_L</t>
  </si>
  <si>
    <t>LDQ_L</t>
  </si>
  <si>
    <t>2C</t>
  </si>
  <si>
    <t>STL</t>
  </si>
  <si>
    <t>STQ</t>
  </si>
  <si>
    <t>2E</t>
  </si>
  <si>
    <t>STL_C</t>
  </si>
  <si>
    <t>2F</t>
  </si>
  <si>
    <t>STQ_C</t>
  </si>
  <si>
    <t>BR</t>
  </si>
  <si>
    <t>Branch</t>
  </si>
  <si>
    <t>FBEQ</t>
  </si>
  <si>
    <t>FBLT</t>
  </si>
  <si>
    <t>FBLE</t>
  </si>
  <si>
    <t>BSR</t>
  </si>
  <si>
    <t>FBNE</t>
  </si>
  <si>
    <t>FBGE</t>
  </si>
  <si>
    <t>FBGT</t>
  </si>
  <si>
    <t>BLBC</t>
  </si>
  <si>
    <t>BEQ</t>
  </si>
  <si>
    <t>3A</t>
  </si>
  <si>
    <t>BLT</t>
  </si>
  <si>
    <t>BLE</t>
  </si>
  <si>
    <t>BLBS</t>
  </si>
  <si>
    <t>BNE</t>
  </si>
  <si>
    <t>3E</t>
  </si>
  <si>
    <t>BGE</t>
  </si>
  <si>
    <t>3F</t>
  </si>
  <si>
    <t>BGT</t>
  </si>
  <si>
    <t>0</t>
  </si>
  <si>
    <t>OPCodeHex</t>
  </si>
  <si>
    <t>OpCode-Dec</t>
  </si>
  <si>
    <t>0x16</t>
  </si>
  <si>
    <t>0x00C3</t>
  </si>
  <si>
    <t>0x01C3</t>
  </si>
  <si>
    <t>0x05C3</t>
  </si>
  <si>
    <t>0x07C3</t>
  </si>
  <si>
    <t>FC - Formatted</t>
  </si>
  <si>
    <t>783</t>
  </si>
  <si>
    <t>010</t>
  </si>
  <si>
    <t>024</t>
  </si>
  <si>
    <t>025</t>
  </si>
  <si>
    <t>030</t>
  </si>
  <si>
    <t>0400</t>
  </si>
  <si>
    <t>4000</t>
  </si>
  <si>
    <t>4400</t>
  </si>
  <si>
    <t>8000</t>
  </si>
  <si>
    <t>E800</t>
  </si>
  <si>
    <t>10A</t>
  </si>
  <si>
    <t>10B</t>
  </si>
  <si>
    <t>12A</t>
  </si>
  <si>
    <t>12B</t>
  </si>
  <si>
    <t>14B</t>
  </si>
  <si>
    <t>16B</t>
  </si>
  <si>
    <t>18A</t>
  </si>
  <si>
    <t>18B</t>
  </si>
  <si>
    <t>1AA</t>
  </si>
  <si>
    <t>1AB</t>
  </si>
  <si>
    <t>1CB</t>
  </si>
  <si>
    <t>1EB</t>
  </si>
  <si>
    <t>40A</t>
  </si>
  <si>
    <t>42A</t>
  </si>
  <si>
    <t>48A</t>
  </si>
  <si>
    <t>4AA</t>
  </si>
  <si>
    <t>50A</t>
  </si>
  <si>
    <t>50B</t>
  </si>
  <si>
    <t>52A</t>
  </si>
  <si>
    <t>52B</t>
  </si>
  <si>
    <t>54B</t>
  </si>
  <si>
    <t>56B</t>
  </si>
  <si>
    <t>58A</t>
  </si>
  <si>
    <t>58B</t>
  </si>
  <si>
    <t>5AA</t>
  </si>
  <si>
    <t>5AB</t>
  </si>
  <si>
    <t>5CB</t>
  </si>
  <si>
    <t>5EB</t>
  </si>
  <si>
    <t>70B</t>
  </si>
  <si>
    <t>72B</t>
  </si>
  <si>
    <t>74B</t>
  </si>
  <si>
    <t>76B</t>
  </si>
  <si>
    <t>78B</t>
  </si>
  <si>
    <t>7AB</t>
  </si>
  <si>
    <t>7CB</t>
  </si>
  <si>
    <t>7EB</t>
  </si>
  <si>
    <t>1a0</t>
  </si>
  <si>
    <t>A6</t>
  </si>
  <si>
    <t>0x00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</si>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</sst>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5E4D-5AFD-474D-A534-E182B855D935}">
  <sheetPr filterMode="1"/>
  <dimension ref="A1:K631"/>
  <sheetViews>
    <sheetView tabSelected="1" topLeftCell="B1" workbookViewId="0">
      <selection activeCell="E547" sqref="E547"/>
    </sheetView>
  </sheetViews>
  <sheetFormatPr defaultRowHeight="15" x14ac:dyDescent="0.25"/>
  <cols>
    <col min="1" max="1" width="12.28515625" style="1" hidden="1" customWidth="1"/>
    <col min="2" max="2" width="1.140625" customWidth="1"/>
    <col min="3" max="3" width="11.5703125" bestFit="1" customWidth="1"/>
    <col min="4" max="4" width="16" bestFit="1" customWidth="1"/>
    <col min="6" max="6" width="20.28515625" bestFit="1" customWidth="1"/>
    <col min="7" max="7" width="13.7109375" style="2" bestFit="1" customWidth="1"/>
    <col min="8" max="9" width="13.7109375" style="3" customWidth="1"/>
    <col min="10" max="10" width="13.42578125" bestFit="1" customWidth="1"/>
    <col min="11" max="11" width="55.28515625" bestFit="1" customWidth="1"/>
    <col min="13" max="13" width="56.42578125" bestFit="1" customWidth="1"/>
  </cols>
  <sheetData>
    <row r="1" spans="1:11" x14ac:dyDescent="0.25">
      <c r="A1" s="1" t="s">
        <v>669</v>
      </c>
      <c r="B1" t="s">
        <v>0</v>
      </c>
      <c r="C1" t="s">
        <v>668</v>
      </c>
      <c r="D1" t="s">
        <v>1</v>
      </c>
      <c r="E1" t="s">
        <v>2</v>
      </c>
      <c r="F1" t="s">
        <v>3</v>
      </c>
      <c r="G1" s="2" t="s">
        <v>4</v>
      </c>
      <c r="H1" s="3" t="s">
        <v>675</v>
      </c>
      <c r="J1" t="s">
        <v>5</v>
      </c>
      <c r="K1" t="s">
        <v>6</v>
      </c>
    </row>
    <row r="2" spans="1:11" s="5" customFormat="1" hidden="1" x14ac:dyDescent="0.25">
      <c r="A2" s="4">
        <f t="shared" ref="A2:A64" si="0">HEX2DEC(B2)</f>
        <v>0</v>
      </c>
      <c r="B2" s="5" t="s">
        <v>667</v>
      </c>
      <c r="C2" s="5" t="str">
        <f>"0x"&amp;TEXT(DEC2HEX(A2),"00")</f>
        <v>0x00</v>
      </c>
      <c r="D2" s="5" t="s">
        <v>7</v>
      </c>
      <c r="F2" s="5" t="str">
        <f t="shared" ref="F2:F64" si="1">IF(TRIM(E2)="",TRIM(D2),TRIM(D2)&amp;"_"&amp;TRIM(E2))</f>
        <v>HALT</v>
      </c>
      <c r="G2" s="6">
        <v>0</v>
      </c>
      <c r="H2" s="7" t="str">
        <f>"0x"&amp;RIGHT("0000"&amp;UPPER(SUBSTITUTE(TRIM(G2),"0X","")),4)</f>
        <v>0x0000</v>
      </c>
      <c r="I2" s="7"/>
      <c r="J2" s="5" t="s">
        <v>8</v>
      </c>
      <c r="K2" s="5" t="s">
        <v>9</v>
      </c>
    </row>
    <row r="3" spans="1:11" s="5" customFormat="1" hidden="1" x14ac:dyDescent="0.25">
      <c r="A3" s="4">
        <f t="shared" si="0"/>
        <v>16</v>
      </c>
      <c r="B3" s="5">
        <v>10</v>
      </c>
      <c r="C3" s="5" t="str">
        <f t="shared" ref="C3:C65" si="2">"0x"&amp;TEXT(DEC2HEX(A3),"00")</f>
        <v>0x10</v>
      </c>
      <c r="D3" s="5" t="s">
        <v>235</v>
      </c>
      <c r="E3" s="5" t="s">
        <v>217</v>
      </c>
      <c r="F3" s="5" t="str">
        <f t="shared" si="1"/>
        <v>ADDL</v>
      </c>
      <c r="G3" s="6">
        <v>0</v>
      </c>
      <c r="H3" s="7" t="str">
        <f t="shared" ref="H3:H65" si="3">"0x"&amp;RIGHT("0000"&amp;UPPER(SUBSTITUTE(TRIM(G3),"0X","")),4)</f>
        <v>0x0000</v>
      </c>
      <c r="I3" s="7"/>
      <c r="J3" s="5" t="s">
        <v>14</v>
      </c>
      <c r="K3" s="5" t="s">
        <v>236</v>
      </c>
    </row>
    <row r="4" spans="1:11" s="5" customFormat="1" hidden="1" x14ac:dyDescent="0.25">
      <c r="A4" s="1">
        <f t="shared" si="0"/>
        <v>17</v>
      </c>
      <c r="B4" s="5">
        <v>11</v>
      </c>
      <c r="C4" s="5" t="str">
        <f t="shared" si="2"/>
        <v>0x11</v>
      </c>
      <c r="D4" s="5" t="s">
        <v>265</v>
      </c>
      <c r="E4" s="5" t="s">
        <v>217</v>
      </c>
      <c r="F4" s="5" t="str">
        <f t="shared" si="1"/>
        <v>AND</v>
      </c>
      <c r="G4" s="6">
        <v>0</v>
      </c>
      <c r="H4" s="7" t="str">
        <f t="shared" si="3"/>
        <v>0x0000</v>
      </c>
      <c r="I4" s="7"/>
      <c r="J4" s="5" t="s">
        <v>14</v>
      </c>
      <c r="K4" s="5" t="s">
        <v>236</v>
      </c>
    </row>
    <row r="5" spans="1:11" hidden="1" x14ac:dyDescent="0.25">
      <c r="A5" s="1">
        <f t="shared" si="0"/>
        <v>19</v>
      </c>
      <c r="B5">
        <v>13</v>
      </c>
      <c r="C5" t="str">
        <f t="shared" si="2"/>
        <v>0x13</v>
      </c>
      <c r="D5" t="s">
        <v>310</v>
      </c>
      <c r="E5" t="s">
        <v>217</v>
      </c>
      <c r="F5" t="str">
        <f t="shared" si="1"/>
        <v>MULL</v>
      </c>
      <c r="G5" s="2">
        <v>0</v>
      </c>
      <c r="H5" s="3" t="str">
        <f t="shared" si="3"/>
        <v>0x0000</v>
      </c>
      <c r="J5" t="s">
        <v>14</v>
      </c>
      <c r="K5" t="s">
        <v>236</v>
      </c>
    </row>
    <row r="6" spans="1:11" s="5" customFormat="1" hidden="1" x14ac:dyDescent="0.25">
      <c r="A6" s="1">
        <f t="shared" si="0"/>
        <v>26</v>
      </c>
      <c r="B6" s="5" t="s">
        <v>211</v>
      </c>
      <c r="C6" s="5" t="str">
        <f t="shared" si="2"/>
        <v>0x1A</v>
      </c>
      <c r="D6" s="5" t="s">
        <v>617</v>
      </c>
      <c r="E6" s="5" t="s">
        <v>217</v>
      </c>
      <c r="F6" s="5" t="str">
        <f t="shared" si="1"/>
        <v>JMP</v>
      </c>
      <c r="G6" s="6">
        <v>0</v>
      </c>
      <c r="H6" s="7" t="str">
        <f t="shared" si="3"/>
        <v>0x0000</v>
      </c>
      <c r="I6" s="7"/>
      <c r="J6" s="5" t="s">
        <v>14</v>
      </c>
      <c r="K6" s="5" t="s">
        <v>155</v>
      </c>
    </row>
    <row r="7" spans="1:11" s="5" customFormat="1" hidden="1" x14ac:dyDescent="0.25">
      <c r="A7" s="1">
        <f t="shared" si="0"/>
        <v>0</v>
      </c>
      <c r="B7" s="5">
        <v>0</v>
      </c>
      <c r="C7" s="5" t="str">
        <f t="shared" si="2"/>
        <v>0x00</v>
      </c>
      <c r="D7" s="5" t="s">
        <v>10</v>
      </c>
      <c r="F7" s="5" t="str">
        <f t="shared" si="1"/>
        <v>CFLUSH</v>
      </c>
      <c r="G7" s="6">
        <v>1</v>
      </c>
      <c r="H7" s="7" t="str">
        <f t="shared" si="3"/>
        <v>0x0001</v>
      </c>
      <c r="I7" s="7"/>
      <c r="J7" s="5" t="s">
        <v>8</v>
      </c>
      <c r="K7" s="5" t="s">
        <v>11</v>
      </c>
    </row>
    <row r="8" spans="1:11" hidden="1" x14ac:dyDescent="0.25">
      <c r="A8" s="1">
        <f t="shared" si="0"/>
        <v>22</v>
      </c>
      <c r="B8">
        <v>16</v>
      </c>
      <c r="C8" t="str">
        <f t="shared" si="2"/>
        <v>0x16</v>
      </c>
      <c r="D8" t="s">
        <v>499</v>
      </c>
      <c r="E8" t="s">
        <v>396</v>
      </c>
      <c r="F8" t="str">
        <f t="shared" si="1"/>
        <v>SUBS_C</v>
      </c>
      <c r="G8" s="2">
        <v>1</v>
      </c>
      <c r="H8" s="3" t="str">
        <f t="shared" si="3"/>
        <v>0x0001</v>
      </c>
      <c r="J8" t="s">
        <v>320</v>
      </c>
      <c r="K8" t="s">
        <v>240</v>
      </c>
    </row>
    <row r="9" spans="1:11" s="5" customFormat="1" hidden="1" x14ac:dyDescent="0.25">
      <c r="A9" s="1">
        <f t="shared" si="0"/>
        <v>26</v>
      </c>
      <c r="B9" s="5" t="s">
        <v>211</v>
      </c>
      <c r="C9" s="5" t="str">
        <f t="shared" si="2"/>
        <v>0x1A</v>
      </c>
      <c r="D9" s="5" t="s">
        <v>618</v>
      </c>
      <c r="E9" s="5" t="s">
        <v>217</v>
      </c>
      <c r="F9" s="5" t="str">
        <f t="shared" si="1"/>
        <v>JSR</v>
      </c>
      <c r="G9" s="6">
        <v>1</v>
      </c>
      <c r="H9" s="7" t="str">
        <f t="shared" si="3"/>
        <v>0x0001</v>
      </c>
      <c r="I9" s="7"/>
      <c r="J9" s="5" t="s">
        <v>14</v>
      </c>
      <c r="K9" s="5" t="s">
        <v>155</v>
      </c>
    </row>
    <row r="10" spans="1:11" hidden="1" x14ac:dyDescent="0.25">
      <c r="A10" s="1">
        <f t="shared" si="0"/>
        <v>0</v>
      </c>
      <c r="B10">
        <v>0</v>
      </c>
      <c r="C10" t="str">
        <f t="shared" si="2"/>
        <v>0x00</v>
      </c>
      <c r="D10" t="s">
        <v>12</v>
      </c>
      <c r="F10" t="str">
        <f t="shared" si="1"/>
        <v>DRAINA</v>
      </c>
      <c r="G10" s="2">
        <v>2</v>
      </c>
      <c r="H10" s="3" t="str">
        <f t="shared" si="3"/>
        <v>0x0002</v>
      </c>
      <c r="J10" t="s">
        <v>8</v>
      </c>
      <c r="K10" t="s">
        <v>11</v>
      </c>
    </row>
    <row r="11" spans="1:11" hidden="1" x14ac:dyDescent="0.25">
      <c r="A11" s="1">
        <f t="shared" si="0"/>
        <v>16</v>
      </c>
      <c r="B11">
        <v>10</v>
      </c>
      <c r="C11" t="str">
        <f t="shared" si="2"/>
        <v>0x10</v>
      </c>
      <c r="D11" t="s">
        <v>251</v>
      </c>
      <c r="E11" t="s">
        <v>217</v>
      </c>
      <c r="F11" t="str">
        <f t="shared" si="1"/>
        <v>S4ADDL</v>
      </c>
      <c r="G11" s="2">
        <v>2</v>
      </c>
      <c r="H11" s="3" t="str">
        <f t="shared" si="3"/>
        <v>0x0002</v>
      </c>
      <c r="J11" t="s">
        <v>14</v>
      </c>
      <c r="K11" t="s">
        <v>236</v>
      </c>
    </row>
    <row r="12" spans="1:11" s="5" customFormat="1" hidden="1" x14ac:dyDescent="0.25">
      <c r="A12" s="1">
        <f t="shared" si="0"/>
        <v>18</v>
      </c>
      <c r="B12" s="5">
        <v>12</v>
      </c>
      <c r="C12" s="5" t="str">
        <f t="shared" si="2"/>
        <v>0x12</v>
      </c>
      <c r="D12" s="5" t="s">
        <v>280</v>
      </c>
      <c r="E12" s="5" t="s">
        <v>217</v>
      </c>
      <c r="F12" s="5" t="str">
        <f t="shared" si="1"/>
        <v>MSKBL</v>
      </c>
      <c r="G12" s="6">
        <v>2</v>
      </c>
      <c r="H12" s="7" t="str">
        <f t="shared" si="3"/>
        <v>0x0002</v>
      </c>
      <c r="I12" s="7"/>
      <c r="J12" s="5" t="s">
        <v>14</v>
      </c>
      <c r="K12" s="5" t="s">
        <v>236</v>
      </c>
    </row>
    <row r="13" spans="1:11" hidden="1" x14ac:dyDescent="0.25">
      <c r="A13" s="1">
        <f t="shared" si="0"/>
        <v>22</v>
      </c>
      <c r="B13">
        <v>16</v>
      </c>
      <c r="C13" t="str">
        <f t="shared" si="2"/>
        <v>0x16</v>
      </c>
      <c r="D13" t="s">
        <v>500</v>
      </c>
      <c r="E13" t="s">
        <v>396</v>
      </c>
      <c r="F13" t="str">
        <f t="shared" si="1"/>
        <v>MULS_C</v>
      </c>
      <c r="G13" s="2">
        <v>2</v>
      </c>
      <c r="H13" s="3" t="str">
        <f t="shared" si="3"/>
        <v>0x0002</v>
      </c>
      <c r="J13" t="s">
        <v>320</v>
      </c>
      <c r="K13" t="s">
        <v>240</v>
      </c>
    </row>
    <row r="14" spans="1:11" s="5" customFormat="1" hidden="1" x14ac:dyDescent="0.25">
      <c r="A14" s="1">
        <f t="shared" si="0"/>
        <v>26</v>
      </c>
      <c r="B14" s="5" t="s">
        <v>211</v>
      </c>
      <c r="C14" s="5" t="str">
        <f t="shared" si="2"/>
        <v>0x1A</v>
      </c>
      <c r="D14" s="5" t="s">
        <v>619</v>
      </c>
      <c r="E14" s="5" t="s">
        <v>217</v>
      </c>
      <c r="F14" s="5" t="str">
        <f t="shared" si="1"/>
        <v>RET</v>
      </c>
      <c r="G14" s="6">
        <v>2</v>
      </c>
      <c r="H14" s="7" t="str">
        <f t="shared" si="3"/>
        <v>0x0002</v>
      </c>
      <c r="I14" s="7"/>
      <c r="J14" s="5" t="s">
        <v>14</v>
      </c>
      <c r="K14" s="5" t="s">
        <v>602</v>
      </c>
    </row>
    <row r="15" spans="1:11" s="5" customFormat="1" hidden="1" x14ac:dyDescent="0.25">
      <c r="A15" s="1">
        <f t="shared" si="0"/>
        <v>0</v>
      </c>
      <c r="B15" s="5">
        <v>0</v>
      </c>
      <c r="C15" s="5" t="str">
        <f t="shared" si="2"/>
        <v>0x00</v>
      </c>
      <c r="D15" s="5" t="s">
        <v>13</v>
      </c>
      <c r="F15" s="5" t="str">
        <f t="shared" si="1"/>
        <v>LDQP</v>
      </c>
      <c r="G15" s="6">
        <v>3</v>
      </c>
      <c r="H15" s="7" t="str">
        <f t="shared" si="3"/>
        <v>0x0003</v>
      </c>
      <c r="I15" s="7"/>
      <c r="J15" s="5" t="s">
        <v>14</v>
      </c>
      <c r="K15" s="5" t="s">
        <v>11</v>
      </c>
    </row>
    <row r="16" spans="1:11" s="5" customFormat="1" hidden="1" x14ac:dyDescent="0.25">
      <c r="A16" s="1">
        <f t="shared" si="0"/>
        <v>0</v>
      </c>
      <c r="B16" s="5">
        <v>0</v>
      </c>
      <c r="C16" s="5" t="str">
        <f t="shared" si="2"/>
        <v>0x00</v>
      </c>
      <c r="D16" s="5" t="s">
        <v>15</v>
      </c>
      <c r="F16" s="5" t="str">
        <f t="shared" si="1"/>
        <v>REBOOT</v>
      </c>
      <c r="G16" s="6">
        <v>3</v>
      </c>
      <c r="H16" s="7" t="str">
        <f t="shared" si="3"/>
        <v>0x0003</v>
      </c>
      <c r="I16" s="7"/>
      <c r="J16" s="5" t="s">
        <v>16</v>
      </c>
      <c r="K16" s="5" t="s">
        <v>17</v>
      </c>
    </row>
    <row r="17" spans="1:11" s="5" customFormat="1" hidden="1" x14ac:dyDescent="0.25">
      <c r="A17" s="1">
        <f t="shared" si="0"/>
        <v>22</v>
      </c>
      <c r="B17" s="5">
        <v>16</v>
      </c>
      <c r="C17" s="5" t="str">
        <f t="shared" si="2"/>
        <v>0x16</v>
      </c>
      <c r="D17" s="5" t="s">
        <v>501</v>
      </c>
      <c r="E17" s="5" t="s">
        <v>396</v>
      </c>
      <c r="F17" s="5" t="str">
        <f t="shared" si="1"/>
        <v>DIVS_C</v>
      </c>
      <c r="G17" s="6">
        <v>3</v>
      </c>
      <c r="H17" s="7" t="str">
        <f t="shared" si="3"/>
        <v>0x0003</v>
      </c>
      <c r="I17" s="7"/>
      <c r="J17" s="5" t="s">
        <v>320</v>
      </c>
      <c r="K17" s="5" t="s">
        <v>240</v>
      </c>
    </row>
    <row r="18" spans="1:11" s="5" customFormat="1" hidden="1" x14ac:dyDescent="0.25">
      <c r="A18" s="1">
        <f t="shared" si="0"/>
        <v>26</v>
      </c>
      <c r="B18" s="5" t="s">
        <v>211</v>
      </c>
      <c r="C18" s="5" t="str">
        <f t="shared" si="2"/>
        <v>0x1A</v>
      </c>
      <c r="D18" s="5" t="s">
        <v>620</v>
      </c>
      <c r="E18" s="5" t="s">
        <v>217</v>
      </c>
      <c r="F18" s="5" t="str">
        <f t="shared" si="1"/>
        <v>JSR_COROUTINE</v>
      </c>
      <c r="G18" s="6">
        <v>3</v>
      </c>
      <c r="H18" s="7" t="str">
        <f t="shared" si="3"/>
        <v>0x0003</v>
      </c>
      <c r="I18" s="7"/>
      <c r="J18" s="5" t="s">
        <v>14</v>
      </c>
      <c r="K18" s="5" t="s">
        <v>155</v>
      </c>
    </row>
    <row r="19" spans="1:11" s="5" customFormat="1" hidden="1" x14ac:dyDescent="0.25">
      <c r="A19" s="1">
        <f t="shared" si="0"/>
        <v>0</v>
      </c>
      <c r="B19" s="5">
        <v>0</v>
      </c>
      <c r="C19" s="5" t="str">
        <f t="shared" si="2"/>
        <v>0x00</v>
      </c>
      <c r="D19" s="5" t="s">
        <v>19</v>
      </c>
      <c r="F19" s="5" t="str">
        <f t="shared" si="1"/>
        <v>STQP</v>
      </c>
      <c r="G19" s="6">
        <v>5</v>
      </c>
      <c r="H19" s="7" t="str">
        <f t="shared" si="3"/>
        <v>0x0005</v>
      </c>
      <c r="I19" s="7"/>
      <c r="J19" s="5" t="s">
        <v>14</v>
      </c>
      <c r="K19" s="5" t="s">
        <v>9</v>
      </c>
    </row>
    <row r="20" spans="1:11" hidden="1" x14ac:dyDescent="0.25">
      <c r="A20" s="1">
        <f t="shared" si="0"/>
        <v>0</v>
      </c>
      <c r="B20">
        <v>0</v>
      </c>
      <c r="C20" t="str">
        <f t="shared" si="2"/>
        <v>0x00</v>
      </c>
      <c r="D20" t="s">
        <v>20</v>
      </c>
      <c r="F20" t="str">
        <f t="shared" si="1"/>
        <v>SWPCTX</v>
      </c>
      <c r="G20" s="2">
        <v>5</v>
      </c>
      <c r="H20" s="3" t="str">
        <f t="shared" si="3"/>
        <v>0x0005</v>
      </c>
      <c r="J20" t="s">
        <v>14</v>
      </c>
      <c r="K20" t="s">
        <v>11</v>
      </c>
    </row>
    <row r="21" spans="1:11" s="5" customFormat="1" hidden="1" x14ac:dyDescent="0.25">
      <c r="A21" s="1">
        <f t="shared" si="0"/>
        <v>0</v>
      </c>
      <c r="B21" s="5">
        <v>0</v>
      </c>
      <c r="C21" s="5" t="str">
        <f t="shared" si="2"/>
        <v>0x00</v>
      </c>
      <c r="D21" s="5" t="s">
        <v>21</v>
      </c>
      <c r="F21" s="5" t="str">
        <f t="shared" si="1"/>
        <v>MFPR_ASN</v>
      </c>
      <c r="G21" s="6">
        <v>6</v>
      </c>
      <c r="H21" s="7" t="str">
        <f t="shared" si="3"/>
        <v>0x0006</v>
      </c>
      <c r="I21" s="7"/>
      <c r="J21" s="5" t="s">
        <v>14</v>
      </c>
      <c r="K21" s="5" t="s">
        <v>9</v>
      </c>
    </row>
    <row r="22" spans="1:11" hidden="1" x14ac:dyDescent="0.25">
      <c r="A22" s="1">
        <f t="shared" si="0"/>
        <v>0</v>
      </c>
      <c r="B22">
        <v>0</v>
      </c>
      <c r="C22" t="str">
        <f t="shared" si="2"/>
        <v>0x00</v>
      </c>
      <c r="D22" t="s">
        <v>22</v>
      </c>
      <c r="F22" t="str">
        <f t="shared" si="1"/>
        <v>SWPIRQL</v>
      </c>
      <c r="G22" s="2">
        <v>6</v>
      </c>
      <c r="H22" s="3" t="str">
        <f t="shared" si="3"/>
        <v>0x0006</v>
      </c>
      <c r="J22" t="s">
        <v>16</v>
      </c>
      <c r="K22" t="s">
        <v>17</v>
      </c>
    </row>
    <row r="23" spans="1:11" hidden="1" x14ac:dyDescent="0.25">
      <c r="A23" s="1">
        <f t="shared" si="0"/>
        <v>18</v>
      </c>
      <c r="B23">
        <v>12</v>
      </c>
      <c r="C23" t="str">
        <f t="shared" si="2"/>
        <v>0x12</v>
      </c>
      <c r="D23" t="s">
        <v>281</v>
      </c>
      <c r="E23" t="s">
        <v>217</v>
      </c>
      <c r="F23" t="str">
        <f t="shared" si="1"/>
        <v>EXTBL</v>
      </c>
      <c r="G23" s="2">
        <v>6</v>
      </c>
      <c r="H23" s="3" t="str">
        <f t="shared" si="3"/>
        <v>0x0006</v>
      </c>
      <c r="J23" t="s">
        <v>14</v>
      </c>
      <c r="K23" t="s">
        <v>236</v>
      </c>
    </row>
    <row r="24" spans="1:11" s="5" customFormat="1" hidden="1" x14ac:dyDescent="0.25">
      <c r="A24" s="1">
        <f t="shared" si="0"/>
        <v>0</v>
      </c>
      <c r="B24" s="5">
        <v>0</v>
      </c>
      <c r="C24" s="5" t="str">
        <f t="shared" si="2"/>
        <v>0x00</v>
      </c>
      <c r="D24" s="5" t="s">
        <v>23</v>
      </c>
      <c r="F24" s="5" t="str">
        <f t="shared" si="1"/>
        <v>MTPR_ASTEN</v>
      </c>
      <c r="G24" s="6">
        <v>7</v>
      </c>
      <c r="H24" s="7" t="str">
        <f t="shared" si="3"/>
        <v>0x0007</v>
      </c>
      <c r="I24" s="7"/>
      <c r="J24" s="5" t="s">
        <v>14</v>
      </c>
      <c r="K24" s="5" t="s">
        <v>9</v>
      </c>
    </row>
    <row r="25" spans="1:11" s="5" customFormat="1" hidden="1" x14ac:dyDescent="0.25">
      <c r="A25" s="1">
        <f t="shared" si="0"/>
        <v>0</v>
      </c>
      <c r="B25" s="5">
        <v>0</v>
      </c>
      <c r="C25" s="5" t="str">
        <f t="shared" si="2"/>
        <v>0x00</v>
      </c>
      <c r="D25" s="5" t="s">
        <v>24</v>
      </c>
      <c r="F25" s="5" t="str">
        <f t="shared" si="1"/>
        <v>RDIRQL</v>
      </c>
      <c r="G25" s="6">
        <v>7</v>
      </c>
      <c r="H25" s="7" t="str">
        <f t="shared" si="3"/>
        <v>0x0007</v>
      </c>
      <c r="I25" s="7"/>
      <c r="J25" s="5" t="s">
        <v>16</v>
      </c>
      <c r="K25" s="5" t="s">
        <v>17</v>
      </c>
    </row>
    <row r="26" spans="1:11" s="5" customFormat="1" hidden="1" x14ac:dyDescent="0.25">
      <c r="A26" s="1">
        <f t="shared" si="0"/>
        <v>0</v>
      </c>
      <c r="B26" s="5">
        <v>0</v>
      </c>
      <c r="C26" s="5" t="str">
        <f t="shared" si="2"/>
        <v>0x00</v>
      </c>
      <c r="D26" s="5" t="s">
        <v>25</v>
      </c>
      <c r="F26" s="5" t="str">
        <f t="shared" si="1"/>
        <v>MTPR_ASTSR</v>
      </c>
      <c r="G26" s="6">
        <v>8</v>
      </c>
      <c r="H26" s="7" t="str">
        <f t="shared" si="3"/>
        <v>0x0008</v>
      </c>
      <c r="I26" s="7"/>
      <c r="J26" s="5" t="s">
        <v>14</v>
      </c>
      <c r="K26" s="5" t="s">
        <v>9</v>
      </c>
    </row>
    <row r="27" spans="1:11" s="5" customFormat="1" hidden="1" x14ac:dyDescent="0.25">
      <c r="A27" s="1">
        <f t="shared" si="0"/>
        <v>0</v>
      </c>
      <c r="B27" s="5">
        <v>0</v>
      </c>
      <c r="C27" s="5" t="str">
        <f t="shared" si="2"/>
        <v>0x00</v>
      </c>
      <c r="D27" s="5" t="s">
        <v>26</v>
      </c>
      <c r="F27" s="5" t="str">
        <f t="shared" si="1"/>
        <v>DI</v>
      </c>
      <c r="G27" s="6">
        <v>8</v>
      </c>
      <c r="H27" s="7" t="str">
        <f t="shared" si="3"/>
        <v>0x0008</v>
      </c>
      <c r="I27" s="7"/>
      <c r="J27" s="5" t="s">
        <v>16</v>
      </c>
      <c r="K27" s="5" t="s">
        <v>17</v>
      </c>
    </row>
    <row r="28" spans="1:11" s="5" customFormat="1" hidden="1" x14ac:dyDescent="0.25">
      <c r="A28" s="1">
        <f t="shared" si="0"/>
        <v>17</v>
      </c>
      <c r="B28" s="5">
        <v>11</v>
      </c>
      <c r="C28" s="5" t="str">
        <f t="shared" si="2"/>
        <v>0x11</v>
      </c>
      <c r="D28" s="5" t="s">
        <v>266</v>
      </c>
      <c r="E28" s="5" t="s">
        <v>217</v>
      </c>
      <c r="F28" s="5" t="str">
        <f t="shared" si="1"/>
        <v>BIC</v>
      </c>
      <c r="G28" s="6">
        <v>8</v>
      </c>
      <c r="H28" s="7" t="str">
        <f t="shared" si="3"/>
        <v>0x0008</v>
      </c>
      <c r="I28" s="7"/>
      <c r="J28" s="5" t="s">
        <v>14</v>
      </c>
      <c r="K28" s="5" t="s">
        <v>236</v>
      </c>
    </row>
    <row r="29" spans="1:11" s="5" customFormat="1" hidden="1" x14ac:dyDescent="0.25">
      <c r="A29" s="1">
        <f t="shared" si="0"/>
        <v>0</v>
      </c>
      <c r="B29" s="5">
        <v>0</v>
      </c>
      <c r="C29" s="5" t="str">
        <f t="shared" si="2"/>
        <v>0x00</v>
      </c>
      <c r="D29" s="5" t="s">
        <v>27</v>
      </c>
      <c r="F29" s="5" t="str">
        <f t="shared" si="1"/>
        <v>CSERVE</v>
      </c>
      <c r="G29" s="6">
        <v>9</v>
      </c>
      <c r="H29" s="7" t="str">
        <f t="shared" si="3"/>
        <v>0x0009</v>
      </c>
      <c r="I29" s="7"/>
      <c r="J29" s="5" t="s">
        <v>8</v>
      </c>
      <c r="K29" s="5" t="s">
        <v>11</v>
      </c>
    </row>
    <row r="30" spans="1:11" hidden="1" x14ac:dyDescent="0.25">
      <c r="A30" s="1">
        <f t="shared" si="0"/>
        <v>16</v>
      </c>
      <c r="B30">
        <v>10</v>
      </c>
      <c r="C30" t="str">
        <f t="shared" si="2"/>
        <v>0x10</v>
      </c>
      <c r="D30" t="s">
        <v>262</v>
      </c>
      <c r="E30" t="s">
        <v>217</v>
      </c>
      <c r="F30" t="str">
        <f t="shared" si="1"/>
        <v>SUBL</v>
      </c>
      <c r="G30" s="2">
        <v>9</v>
      </c>
      <c r="H30" s="3" t="str">
        <f t="shared" si="3"/>
        <v>0x0009</v>
      </c>
      <c r="J30" t="s">
        <v>14</v>
      </c>
      <c r="K30" t="s">
        <v>240</v>
      </c>
    </row>
    <row r="31" spans="1:11" s="5" customFormat="1" hidden="1" x14ac:dyDescent="0.25">
      <c r="A31" s="1">
        <f t="shared" si="0"/>
        <v>0</v>
      </c>
      <c r="B31" s="5">
        <v>0</v>
      </c>
      <c r="C31" s="5" t="str">
        <f t="shared" si="2"/>
        <v>0x00</v>
      </c>
      <c r="D31" s="5" t="s">
        <v>28</v>
      </c>
      <c r="F31" s="5" t="str">
        <f t="shared" si="1"/>
        <v>MFPR_MCES</v>
      </c>
      <c r="G31" s="6">
        <v>10</v>
      </c>
      <c r="H31" s="7" t="str">
        <f t="shared" si="3"/>
        <v>0x0010</v>
      </c>
      <c r="I31" s="7"/>
      <c r="J31" s="5" t="s">
        <v>14</v>
      </c>
      <c r="K31" s="5" t="s">
        <v>9</v>
      </c>
    </row>
    <row r="32" spans="1:11" s="5" customFormat="1" hidden="1" x14ac:dyDescent="0.25">
      <c r="A32" s="1">
        <f t="shared" si="0"/>
        <v>0</v>
      </c>
      <c r="B32" s="5">
        <v>0</v>
      </c>
      <c r="C32" s="5" t="str">
        <f t="shared" si="2"/>
        <v>0x00</v>
      </c>
      <c r="D32" s="5" t="s">
        <v>29</v>
      </c>
      <c r="F32" s="5" t="str">
        <f t="shared" si="1"/>
        <v>RDMCES</v>
      </c>
      <c r="G32" s="6">
        <v>10</v>
      </c>
      <c r="H32" s="7" t="str">
        <f t="shared" si="3"/>
        <v>0x0010</v>
      </c>
      <c r="I32" s="7"/>
      <c r="J32" s="5" t="s">
        <v>16</v>
      </c>
      <c r="K32" s="5" t="s">
        <v>17</v>
      </c>
    </row>
    <row r="33" spans="1:11" s="5" customFormat="1" hidden="1" x14ac:dyDescent="0.25">
      <c r="A33" s="1">
        <f t="shared" si="0"/>
        <v>0</v>
      </c>
      <c r="B33" s="5">
        <v>0</v>
      </c>
      <c r="C33" s="5" t="str">
        <f t="shared" si="2"/>
        <v>0x00</v>
      </c>
      <c r="D33" s="5" t="s">
        <v>30</v>
      </c>
      <c r="F33" s="5" t="str">
        <f t="shared" si="1"/>
        <v>MTPR_MCES</v>
      </c>
      <c r="G33" s="6">
        <v>11</v>
      </c>
      <c r="H33" s="7" t="str">
        <f t="shared" si="3"/>
        <v>0x0011</v>
      </c>
      <c r="I33" s="7"/>
      <c r="J33" s="5" t="s">
        <v>14</v>
      </c>
      <c r="K33" s="5" t="s">
        <v>9</v>
      </c>
    </row>
    <row r="34" spans="1:11" hidden="1" x14ac:dyDescent="0.25">
      <c r="A34" s="1">
        <f t="shared" si="0"/>
        <v>0</v>
      </c>
      <c r="B34">
        <v>0</v>
      </c>
      <c r="C34" t="str">
        <f t="shared" si="2"/>
        <v>0x00</v>
      </c>
      <c r="D34" t="s">
        <v>31</v>
      </c>
      <c r="F34" t="str">
        <f t="shared" si="1"/>
        <v>WRMCES</v>
      </c>
      <c r="G34" s="2">
        <v>11</v>
      </c>
      <c r="H34" s="3" t="str">
        <f t="shared" si="3"/>
        <v>0x0011</v>
      </c>
      <c r="J34" t="s">
        <v>16</v>
      </c>
      <c r="K34" t="s">
        <v>17</v>
      </c>
    </row>
    <row r="35" spans="1:11" s="5" customFormat="1" hidden="1" x14ac:dyDescent="0.25">
      <c r="A35" s="1">
        <f t="shared" si="0"/>
        <v>0</v>
      </c>
      <c r="B35" s="5">
        <v>0</v>
      </c>
      <c r="C35" s="5" t="str">
        <f t="shared" si="2"/>
        <v>0x00</v>
      </c>
      <c r="D35" s="5" t="s">
        <v>32</v>
      </c>
      <c r="F35" s="5" t="str">
        <f t="shared" si="1"/>
        <v>MFPR_PCBB</v>
      </c>
      <c r="G35" s="6">
        <v>12</v>
      </c>
      <c r="H35" s="7" t="str">
        <f t="shared" si="3"/>
        <v>0x0012</v>
      </c>
      <c r="I35" s="7"/>
      <c r="J35" s="5" t="s">
        <v>14</v>
      </c>
      <c r="K35" s="5" t="s">
        <v>9</v>
      </c>
    </row>
    <row r="36" spans="1:11" s="5" customFormat="1" hidden="1" x14ac:dyDescent="0.25">
      <c r="A36" s="1">
        <f t="shared" si="0"/>
        <v>0</v>
      </c>
      <c r="B36" s="5">
        <v>0</v>
      </c>
      <c r="C36" s="5" t="str">
        <f t="shared" si="2"/>
        <v>0x00</v>
      </c>
      <c r="D36" s="5" t="s">
        <v>33</v>
      </c>
      <c r="F36" s="5" t="str">
        <f t="shared" si="1"/>
        <v>RDPCBB</v>
      </c>
      <c r="G36" s="6">
        <v>12</v>
      </c>
      <c r="H36" s="7" t="str">
        <f t="shared" si="3"/>
        <v>0x0012</v>
      </c>
      <c r="I36" s="7"/>
      <c r="J36" s="5" t="s">
        <v>16</v>
      </c>
      <c r="K36" s="5" t="s">
        <v>17</v>
      </c>
    </row>
    <row r="37" spans="1:11" hidden="1" x14ac:dyDescent="0.25">
      <c r="A37" s="1">
        <f t="shared" si="0"/>
        <v>16</v>
      </c>
      <c r="B37">
        <v>10</v>
      </c>
      <c r="C37" t="str">
        <f t="shared" si="2"/>
        <v>0x10</v>
      </c>
      <c r="D37" t="s">
        <v>256</v>
      </c>
      <c r="E37" t="s">
        <v>217</v>
      </c>
      <c r="F37" t="str">
        <f t="shared" si="1"/>
        <v>S8ADDL</v>
      </c>
      <c r="G37" s="2">
        <v>12</v>
      </c>
      <c r="H37" s="3" t="str">
        <f t="shared" si="3"/>
        <v>0x0012</v>
      </c>
      <c r="J37" t="s">
        <v>14</v>
      </c>
      <c r="K37" t="s">
        <v>236</v>
      </c>
    </row>
    <row r="38" spans="1:11" s="5" customFormat="1" hidden="1" x14ac:dyDescent="0.25">
      <c r="A38" s="1">
        <f t="shared" si="0"/>
        <v>18</v>
      </c>
      <c r="B38" s="5">
        <v>12</v>
      </c>
      <c r="C38" s="5" t="str">
        <f t="shared" si="2"/>
        <v>0x12</v>
      </c>
      <c r="D38" s="5" t="s">
        <v>282</v>
      </c>
      <c r="E38" s="5" t="s">
        <v>217</v>
      </c>
      <c r="F38" s="5" t="str">
        <f t="shared" si="1"/>
        <v>MSKWL</v>
      </c>
      <c r="G38" s="6">
        <v>12</v>
      </c>
      <c r="H38" s="7" t="str">
        <f t="shared" si="3"/>
        <v>0x0012</v>
      </c>
      <c r="I38" s="7"/>
      <c r="J38" s="5" t="s">
        <v>14</v>
      </c>
      <c r="K38" s="5" t="s">
        <v>236</v>
      </c>
    </row>
    <row r="39" spans="1:11" s="5" customFormat="1" hidden="1" x14ac:dyDescent="0.25">
      <c r="A39" s="1">
        <f t="shared" si="0"/>
        <v>0</v>
      </c>
      <c r="B39" s="5">
        <v>0</v>
      </c>
      <c r="C39" s="5" t="str">
        <f t="shared" si="2"/>
        <v>0x00</v>
      </c>
      <c r="D39" s="5" t="s">
        <v>34</v>
      </c>
      <c r="F39" s="5" t="str">
        <f t="shared" si="1"/>
        <v>MFPR_PRBR</v>
      </c>
      <c r="G39" s="6">
        <v>13</v>
      </c>
      <c r="H39" s="7" t="str">
        <f t="shared" si="3"/>
        <v>0x0013</v>
      </c>
      <c r="I39" s="7"/>
      <c r="J39" s="5" t="s">
        <v>14</v>
      </c>
      <c r="K39" s="5" t="s">
        <v>9</v>
      </c>
    </row>
    <row r="40" spans="1:11" s="5" customFormat="1" hidden="1" x14ac:dyDescent="0.25">
      <c r="A40" s="1">
        <f t="shared" si="0"/>
        <v>0</v>
      </c>
      <c r="B40" s="5">
        <v>0</v>
      </c>
      <c r="C40" s="5" t="str">
        <f t="shared" si="2"/>
        <v>0x00</v>
      </c>
      <c r="D40" s="5" t="s">
        <v>35</v>
      </c>
      <c r="F40" s="5" t="str">
        <f t="shared" si="1"/>
        <v>WRPRBR</v>
      </c>
      <c r="G40" s="6">
        <v>13</v>
      </c>
      <c r="H40" s="7" t="str">
        <f t="shared" si="3"/>
        <v>0x0013</v>
      </c>
      <c r="I40" s="7"/>
      <c r="J40" s="5" t="s">
        <v>16</v>
      </c>
      <c r="K40" s="5" t="s">
        <v>17</v>
      </c>
    </row>
    <row r="41" spans="1:11" s="5" customFormat="1" hidden="1" x14ac:dyDescent="0.25">
      <c r="A41" s="1">
        <f t="shared" si="0"/>
        <v>0</v>
      </c>
      <c r="B41" s="5">
        <v>0</v>
      </c>
      <c r="C41" s="5" t="str">
        <f t="shared" si="2"/>
        <v>0x00</v>
      </c>
      <c r="D41" s="5" t="s">
        <v>36</v>
      </c>
      <c r="F41" s="5" t="str">
        <f t="shared" si="1"/>
        <v>MTPR_PRBR</v>
      </c>
      <c r="G41" s="6">
        <v>14</v>
      </c>
      <c r="H41" s="7" t="str">
        <f t="shared" si="3"/>
        <v>0x0014</v>
      </c>
      <c r="I41" s="7"/>
      <c r="J41" s="5" t="s">
        <v>14</v>
      </c>
      <c r="K41" s="5" t="s">
        <v>9</v>
      </c>
    </row>
    <row r="42" spans="1:11" hidden="1" x14ac:dyDescent="0.25">
      <c r="A42" s="1">
        <f t="shared" si="0"/>
        <v>0</v>
      </c>
      <c r="B42">
        <v>0</v>
      </c>
      <c r="C42" t="str">
        <f t="shared" si="2"/>
        <v>0x00</v>
      </c>
      <c r="D42" t="s">
        <v>37</v>
      </c>
      <c r="F42" t="str">
        <f t="shared" si="1"/>
        <v>TBIA</v>
      </c>
      <c r="G42" s="2">
        <v>14</v>
      </c>
      <c r="H42" s="3" t="str">
        <f t="shared" si="3"/>
        <v>0x0014</v>
      </c>
      <c r="J42" t="s">
        <v>16</v>
      </c>
      <c r="K42" t="s">
        <v>17</v>
      </c>
    </row>
    <row r="43" spans="1:11" s="5" customFormat="1" hidden="1" x14ac:dyDescent="0.25">
      <c r="A43" s="1">
        <f t="shared" si="0"/>
        <v>17</v>
      </c>
      <c r="B43" s="5">
        <v>11</v>
      </c>
      <c r="C43" s="5" t="str">
        <f t="shared" si="2"/>
        <v>0x11</v>
      </c>
      <c r="D43" s="5" t="s">
        <v>267</v>
      </c>
      <c r="E43" s="5" t="s">
        <v>217</v>
      </c>
      <c r="F43" s="5" t="str">
        <f t="shared" si="1"/>
        <v>CMOVLBS</v>
      </c>
      <c r="G43" s="6">
        <v>14</v>
      </c>
      <c r="H43" s="7" t="str">
        <f t="shared" si="3"/>
        <v>0x0014</v>
      </c>
      <c r="I43" s="7"/>
      <c r="J43" s="5" t="s">
        <v>14</v>
      </c>
      <c r="K43" s="5" t="s">
        <v>236</v>
      </c>
    </row>
    <row r="44" spans="1:11" s="5" customFormat="1" hidden="1" x14ac:dyDescent="0.25">
      <c r="A44" s="1">
        <f t="shared" si="0"/>
        <v>0</v>
      </c>
      <c r="B44" s="5">
        <v>0</v>
      </c>
      <c r="C44" s="5" t="str">
        <f t="shared" si="2"/>
        <v>0x00</v>
      </c>
      <c r="D44" s="5" t="s">
        <v>38</v>
      </c>
      <c r="F44" s="5" t="str">
        <f t="shared" si="1"/>
        <v>MFPR_PTBR</v>
      </c>
      <c r="G44" s="6">
        <v>15</v>
      </c>
      <c r="H44" s="7" t="str">
        <f t="shared" si="3"/>
        <v>0x0015</v>
      </c>
      <c r="I44" s="7"/>
      <c r="J44" s="5" t="s">
        <v>14</v>
      </c>
      <c r="K44" s="5" t="s">
        <v>9</v>
      </c>
    </row>
    <row r="45" spans="1:11" s="5" customFormat="1" hidden="1" x14ac:dyDescent="0.25">
      <c r="A45" s="1">
        <f t="shared" si="0"/>
        <v>0</v>
      </c>
      <c r="B45" s="5">
        <v>0</v>
      </c>
      <c r="C45" s="5" t="str">
        <f t="shared" si="2"/>
        <v>0x00</v>
      </c>
      <c r="D45" s="5" t="s">
        <v>39</v>
      </c>
      <c r="F45" s="5" t="str">
        <f t="shared" si="1"/>
        <v>THIS</v>
      </c>
      <c r="G45" s="6">
        <v>15</v>
      </c>
      <c r="H45" s="7" t="str">
        <f t="shared" si="3"/>
        <v>0x0015</v>
      </c>
      <c r="I45" s="7"/>
      <c r="J45" s="5" t="s">
        <v>16</v>
      </c>
      <c r="K45" s="5" t="s">
        <v>17</v>
      </c>
    </row>
    <row r="46" spans="1:11" s="5" customFormat="1" hidden="1" x14ac:dyDescent="0.25">
      <c r="A46" s="1">
        <f t="shared" si="0"/>
        <v>0</v>
      </c>
      <c r="B46" s="5">
        <v>0</v>
      </c>
      <c r="C46" s="5" t="str">
        <f t="shared" si="2"/>
        <v>0x00</v>
      </c>
      <c r="D46" s="5" t="s">
        <v>40</v>
      </c>
      <c r="F46" s="5" t="str">
        <f t="shared" si="1"/>
        <v>DTBIS</v>
      </c>
      <c r="G46" s="6">
        <v>16</v>
      </c>
      <c r="H46" s="7" t="str">
        <f t="shared" si="3"/>
        <v>0x0016</v>
      </c>
      <c r="I46" s="7"/>
      <c r="J46" s="5" t="s">
        <v>16</v>
      </c>
      <c r="K46" s="5" t="s">
        <v>17</v>
      </c>
    </row>
    <row r="47" spans="1:11" s="5" customFormat="1" hidden="1" x14ac:dyDescent="0.25">
      <c r="A47" s="1">
        <f t="shared" si="0"/>
        <v>17</v>
      </c>
      <c r="B47" s="5">
        <v>11</v>
      </c>
      <c r="C47" s="5" t="str">
        <f t="shared" si="2"/>
        <v>0x11</v>
      </c>
      <c r="D47" s="5" t="s">
        <v>268</v>
      </c>
      <c r="E47" s="5" t="s">
        <v>217</v>
      </c>
      <c r="F47" s="5" t="str">
        <f t="shared" si="1"/>
        <v>CMOVLBC</v>
      </c>
      <c r="G47" s="6">
        <v>16</v>
      </c>
      <c r="H47" s="7" t="str">
        <f t="shared" si="3"/>
        <v>0x0016</v>
      </c>
      <c r="I47" s="7"/>
      <c r="J47" s="5" t="s">
        <v>14</v>
      </c>
      <c r="K47" s="5" t="s">
        <v>236</v>
      </c>
    </row>
    <row r="48" spans="1:11" hidden="1" x14ac:dyDescent="0.25">
      <c r="A48" s="1">
        <f t="shared" si="0"/>
        <v>18</v>
      </c>
      <c r="B48">
        <v>12</v>
      </c>
      <c r="C48" t="str">
        <f t="shared" si="2"/>
        <v>0x12</v>
      </c>
      <c r="D48" t="s">
        <v>283</v>
      </c>
      <c r="E48" t="s">
        <v>217</v>
      </c>
      <c r="F48" t="str">
        <f t="shared" si="1"/>
        <v>EXTWL</v>
      </c>
      <c r="G48" s="2">
        <v>16</v>
      </c>
      <c r="H48" s="3" t="str">
        <f t="shared" si="3"/>
        <v>0x0016</v>
      </c>
      <c r="J48" t="s">
        <v>14</v>
      </c>
      <c r="K48" t="s">
        <v>236</v>
      </c>
    </row>
    <row r="49" spans="1:11" s="5" customFormat="1" hidden="1" x14ac:dyDescent="0.25">
      <c r="A49" s="1">
        <f t="shared" si="0"/>
        <v>0</v>
      </c>
      <c r="B49" s="5">
        <v>0</v>
      </c>
      <c r="C49" s="5" t="str">
        <f t="shared" si="2"/>
        <v>0x00</v>
      </c>
      <c r="D49" s="5" t="s">
        <v>41</v>
      </c>
      <c r="F49" s="5" t="str">
        <f t="shared" si="1"/>
        <v>MTPR_SCBB</v>
      </c>
      <c r="G49" s="6">
        <v>17</v>
      </c>
      <c r="H49" s="7" t="str">
        <f t="shared" si="3"/>
        <v>0x0017</v>
      </c>
      <c r="I49" s="7"/>
      <c r="J49" s="5" t="s">
        <v>14</v>
      </c>
      <c r="K49" s="5" t="s">
        <v>9</v>
      </c>
    </row>
    <row r="50" spans="1:11" hidden="1" x14ac:dyDescent="0.25">
      <c r="A50" s="1">
        <f t="shared" si="0"/>
        <v>0</v>
      </c>
      <c r="B50">
        <v>0</v>
      </c>
      <c r="C50" t="str">
        <f t="shared" si="2"/>
        <v>0x00</v>
      </c>
      <c r="D50" t="s">
        <v>42</v>
      </c>
      <c r="F50" t="str">
        <f t="shared" si="1"/>
        <v>TBISASN</v>
      </c>
      <c r="G50" s="2">
        <v>17</v>
      </c>
      <c r="H50" s="3" t="str">
        <f t="shared" si="3"/>
        <v>0x0017</v>
      </c>
      <c r="J50" t="s">
        <v>16</v>
      </c>
      <c r="K50" t="s">
        <v>17</v>
      </c>
    </row>
    <row r="51" spans="1:11" s="5" customFormat="1" hidden="1" x14ac:dyDescent="0.25">
      <c r="A51" s="1">
        <f t="shared" si="0"/>
        <v>0</v>
      </c>
      <c r="B51" s="5">
        <v>0</v>
      </c>
      <c r="C51" s="5" t="str">
        <f t="shared" si="2"/>
        <v>0x00</v>
      </c>
      <c r="D51" s="5" t="s">
        <v>43</v>
      </c>
      <c r="F51" s="5" t="str">
        <f t="shared" si="1"/>
        <v>MTPR_SIRR</v>
      </c>
      <c r="G51" s="6">
        <v>18</v>
      </c>
      <c r="H51" s="7" t="str">
        <f t="shared" si="3"/>
        <v>0x0018</v>
      </c>
      <c r="I51" s="7"/>
      <c r="J51" s="5" t="s">
        <v>14</v>
      </c>
      <c r="K51" s="5" t="s">
        <v>9</v>
      </c>
    </row>
    <row r="52" spans="1:11" hidden="1" x14ac:dyDescent="0.25">
      <c r="A52" s="1">
        <f t="shared" si="0"/>
        <v>0</v>
      </c>
      <c r="B52">
        <v>0</v>
      </c>
      <c r="C52" t="str">
        <f t="shared" si="2"/>
        <v>0x00</v>
      </c>
      <c r="D52" t="s">
        <v>44</v>
      </c>
      <c r="F52" t="str">
        <f t="shared" si="1"/>
        <v>RDKSP</v>
      </c>
      <c r="G52" s="2">
        <v>18</v>
      </c>
      <c r="H52" s="3" t="str">
        <f t="shared" si="3"/>
        <v>0x0018</v>
      </c>
      <c r="J52" t="s">
        <v>16</v>
      </c>
      <c r="K52" t="s">
        <v>17</v>
      </c>
    </row>
    <row r="53" spans="1:11" s="5" customFormat="1" hidden="1" x14ac:dyDescent="0.25">
      <c r="A53" s="1">
        <f t="shared" si="0"/>
        <v>0</v>
      </c>
      <c r="B53" s="5">
        <v>0</v>
      </c>
      <c r="C53" s="5" t="str">
        <f t="shared" si="2"/>
        <v>0x00</v>
      </c>
      <c r="D53" s="5" t="s">
        <v>45</v>
      </c>
      <c r="F53" s="5" t="str">
        <f t="shared" si="1"/>
        <v>MFPR_SISR</v>
      </c>
      <c r="G53" s="6">
        <v>19</v>
      </c>
      <c r="H53" s="7" t="str">
        <f t="shared" si="3"/>
        <v>0x0019</v>
      </c>
      <c r="I53" s="7"/>
      <c r="J53" s="5" t="s">
        <v>14</v>
      </c>
      <c r="K53" s="5" t="s">
        <v>9</v>
      </c>
    </row>
    <row r="54" spans="1:11" hidden="1" x14ac:dyDescent="0.25">
      <c r="A54" s="1">
        <f t="shared" si="0"/>
        <v>0</v>
      </c>
      <c r="B54">
        <v>0</v>
      </c>
      <c r="C54" t="str">
        <f t="shared" si="2"/>
        <v>0x00</v>
      </c>
      <c r="D54" t="s">
        <v>46</v>
      </c>
      <c r="F54" t="str">
        <f t="shared" si="1"/>
        <v>SWPKSP</v>
      </c>
      <c r="G54" s="2">
        <v>19</v>
      </c>
      <c r="H54" s="3" t="str">
        <f t="shared" si="3"/>
        <v>0x0019</v>
      </c>
      <c r="J54" t="s">
        <v>16</v>
      </c>
      <c r="K54" t="s">
        <v>17</v>
      </c>
    </row>
    <row r="55" spans="1:11" s="5" customFormat="1" hidden="1" x14ac:dyDescent="0.25">
      <c r="A55" s="1">
        <f t="shared" si="0"/>
        <v>0</v>
      </c>
      <c r="B55" s="5">
        <v>0</v>
      </c>
      <c r="C55" s="5" t="str">
        <f t="shared" si="2"/>
        <v>0x00</v>
      </c>
      <c r="D55" s="5" t="s">
        <v>47</v>
      </c>
      <c r="F55" s="5" t="str">
        <f t="shared" si="1"/>
        <v>MFPR_SSP</v>
      </c>
      <c r="G55" s="6">
        <v>20</v>
      </c>
      <c r="H55" s="7" t="str">
        <f t="shared" si="3"/>
        <v>0x0020</v>
      </c>
      <c r="I55" s="7"/>
      <c r="J55" s="5" t="s">
        <v>14</v>
      </c>
      <c r="K55" s="5" t="s">
        <v>9</v>
      </c>
    </row>
    <row r="56" spans="1:11" hidden="1" x14ac:dyDescent="0.25">
      <c r="A56" s="1">
        <f t="shared" si="0"/>
        <v>0</v>
      </c>
      <c r="B56">
        <v>0</v>
      </c>
      <c r="C56" t="str">
        <f t="shared" si="2"/>
        <v>0x00</v>
      </c>
      <c r="D56" t="s">
        <v>48</v>
      </c>
      <c r="F56" t="str">
        <f t="shared" si="1"/>
        <v>WRPERFMON</v>
      </c>
      <c r="G56" s="2">
        <v>20</v>
      </c>
      <c r="H56" s="3" t="str">
        <f t="shared" si="3"/>
        <v>0x0020</v>
      </c>
      <c r="J56" t="s">
        <v>16</v>
      </c>
      <c r="K56" t="s">
        <v>17</v>
      </c>
    </row>
    <row r="57" spans="1:11" s="5" customFormat="1" hidden="1" x14ac:dyDescent="0.25">
      <c r="A57" s="1">
        <f t="shared" si="0"/>
        <v>16</v>
      </c>
      <c r="B57" s="5">
        <v>10</v>
      </c>
      <c r="C57" s="5" t="str">
        <f t="shared" si="2"/>
        <v>0x10</v>
      </c>
      <c r="D57" s="5" t="s">
        <v>238</v>
      </c>
      <c r="E57" s="5" t="s">
        <v>217</v>
      </c>
      <c r="F57" s="5" t="str">
        <f t="shared" si="1"/>
        <v>ADDQ</v>
      </c>
      <c r="G57" s="6">
        <v>20</v>
      </c>
      <c r="H57" s="7" t="str">
        <f t="shared" si="3"/>
        <v>0x0020</v>
      </c>
      <c r="I57" s="7"/>
      <c r="J57" s="5" t="s">
        <v>14</v>
      </c>
      <c r="K57" s="5" t="s">
        <v>236</v>
      </c>
    </row>
    <row r="58" spans="1:11" s="5" customFormat="1" hidden="1" x14ac:dyDescent="0.25">
      <c r="A58" s="1">
        <f t="shared" si="0"/>
        <v>17</v>
      </c>
      <c r="B58" s="5">
        <v>11</v>
      </c>
      <c r="C58" s="5" t="str">
        <f t="shared" si="2"/>
        <v>0x11</v>
      </c>
      <c r="D58" s="5" t="s">
        <v>269</v>
      </c>
      <c r="E58" s="5" t="s">
        <v>217</v>
      </c>
      <c r="F58" s="5" t="str">
        <f t="shared" si="1"/>
        <v>BIS</v>
      </c>
      <c r="G58" s="6">
        <v>20</v>
      </c>
      <c r="H58" s="7" t="str">
        <f t="shared" si="3"/>
        <v>0x0020</v>
      </c>
      <c r="I58" s="7"/>
      <c r="J58" s="5" t="s">
        <v>14</v>
      </c>
      <c r="K58" s="5" t="s">
        <v>236</v>
      </c>
    </row>
    <row r="59" spans="1:11" hidden="1" x14ac:dyDescent="0.25">
      <c r="A59" s="1">
        <f t="shared" si="0"/>
        <v>19</v>
      </c>
      <c r="B59">
        <v>13</v>
      </c>
      <c r="C59" t="str">
        <f t="shared" si="2"/>
        <v>0x13</v>
      </c>
      <c r="D59" t="s">
        <v>311</v>
      </c>
      <c r="E59" t="s">
        <v>217</v>
      </c>
      <c r="F59" t="str">
        <f t="shared" si="1"/>
        <v>MULQ</v>
      </c>
      <c r="G59" s="2">
        <v>20</v>
      </c>
      <c r="H59" s="3" t="str">
        <f t="shared" si="3"/>
        <v>0x0020</v>
      </c>
      <c r="J59" t="s">
        <v>14</v>
      </c>
      <c r="K59" t="s">
        <v>236</v>
      </c>
    </row>
    <row r="60" spans="1:11" s="5" customFormat="1" hidden="1" x14ac:dyDescent="0.25">
      <c r="A60" s="1">
        <f t="shared" si="0"/>
        <v>0</v>
      </c>
      <c r="B60" s="5">
        <v>0</v>
      </c>
      <c r="C60" s="5" t="str">
        <f t="shared" si="2"/>
        <v>0x00</v>
      </c>
      <c r="D60" s="5" t="s">
        <v>49</v>
      </c>
      <c r="F60" s="5" t="str">
        <f t="shared" si="1"/>
        <v>MTPR_SSP</v>
      </c>
      <c r="G60" s="6">
        <v>21</v>
      </c>
      <c r="H60" s="7" t="str">
        <f t="shared" si="3"/>
        <v>0x0021</v>
      </c>
      <c r="I60" s="7"/>
      <c r="J60" s="5" t="s">
        <v>14</v>
      </c>
      <c r="K60" s="5" t="s">
        <v>9</v>
      </c>
    </row>
    <row r="61" spans="1:11" hidden="1" x14ac:dyDescent="0.25">
      <c r="A61" s="1">
        <f t="shared" si="0"/>
        <v>0</v>
      </c>
      <c r="B61">
        <v>0</v>
      </c>
      <c r="C61" t="str">
        <f t="shared" si="2"/>
        <v>0x00</v>
      </c>
      <c r="D61" t="s">
        <v>50</v>
      </c>
      <c r="F61" t="str">
        <f t="shared" si="1"/>
        <v>SWPIPL</v>
      </c>
      <c r="G61" s="2">
        <v>21</v>
      </c>
      <c r="H61" s="3" t="str">
        <f t="shared" si="3"/>
        <v>0x0021</v>
      </c>
      <c r="J61" t="s">
        <v>16</v>
      </c>
      <c r="K61" t="s">
        <v>17</v>
      </c>
    </row>
    <row r="62" spans="1:11" hidden="1" x14ac:dyDescent="0.25">
      <c r="A62" s="1">
        <f t="shared" si="0"/>
        <v>22</v>
      </c>
      <c r="B62">
        <v>16</v>
      </c>
      <c r="C62" t="str">
        <f t="shared" si="2"/>
        <v>0x16</v>
      </c>
      <c r="D62" t="s">
        <v>502</v>
      </c>
      <c r="E62" t="s">
        <v>396</v>
      </c>
      <c r="F62" t="str">
        <f t="shared" si="1"/>
        <v>SUBT_C</v>
      </c>
      <c r="G62" s="2">
        <v>21</v>
      </c>
      <c r="H62" s="3" t="str">
        <f t="shared" si="3"/>
        <v>0x0021</v>
      </c>
      <c r="J62" t="s">
        <v>320</v>
      </c>
      <c r="K62" t="s">
        <v>240</v>
      </c>
    </row>
    <row r="63" spans="1:11" s="5" customFormat="1" hidden="1" x14ac:dyDescent="0.25">
      <c r="A63" s="1">
        <f t="shared" si="0"/>
        <v>0</v>
      </c>
      <c r="B63" s="5">
        <v>0</v>
      </c>
      <c r="C63" s="5" t="str">
        <f t="shared" si="2"/>
        <v>0x00</v>
      </c>
      <c r="D63" s="5" t="s">
        <v>51</v>
      </c>
      <c r="F63" s="5" t="str">
        <f t="shared" si="1"/>
        <v>MFPR_USP</v>
      </c>
      <c r="G63" s="6">
        <v>22</v>
      </c>
      <c r="H63" s="7" t="str">
        <f t="shared" si="3"/>
        <v>0x0022</v>
      </c>
      <c r="I63" s="7"/>
      <c r="J63" s="5" t="s">
        <v>14</v>
      </c>
      <c r="K63" s="5" t="s">
        <v>9</v>
      </c>
    </row>
    <row r="64" spans="1:11" s="5" customFormat="1" hidden="1" x14ac:dyDescent="0.25">
      <c r="A64" s="1">
        <f t="shared" si="0"/>
        <v>0</v>
      </c>
      <c r="B64" s="5">
        <v>0</v>
      </c>
      <c r="C64" s="5" t="str">
        <f t="shared" si="2"/>
        <v>0x00</v>
      </c>
      <c r="D64" s="5" t="s">
        <v>52</v>
      </c>
      <c r="F64" s="5" t="str">
        <f t="shared" si="1"/>
        <v>RDUSP</v>
      </c>
      <c r="G64" s="6">
        <v>22</v>
      </c>
      <c r="H64" s="7" t="str">
        <f t="shared" si="3"/>
        <v>0x0022</v>
      </c>
      <c r="I64" s="7"/>
      <c r="J64" s="5" t="s">
        <v>16</v>
      </c>
      <c r="K64" s="5" t="s">
        <v>17</v>
      </c>
    </row>
    <row r="65" spans="1:11" hidden="1" x14ac:dyDescent="0.25">
      <c r="A65" s="1">
        <f t="shared" ref="A65:A128" si="4">HEX2DEC(B65)</f>
        <v>16</v>
      </c>
      <c r="B65">
        <v>10</v>
      </c>
      <c r="C65" t="str">
        <f t="shared" si="2"/>
        <v>0x10</v>
      </c>
      <c r="D65" t="s">
        <v>252</v>
      </c>
      <c r="E65" t="s">
        <v>217</v>
      </c>
      <c r="F65" t="str">
        <f t="shared" ref="F65:F128" si="5">IF(TRIM(E65)="",TRIM(D65),TRIM(D65)&amp;"_"&amp;TRIM(E65))</f>
        <v>S4ADDQ</v>
      </c>
      <c r="G65" s="2">
        <v>22</v>
      </c>
      <c r="H65" s="3" t="str">
        <f t="shared" si="3"/>
        <v>0x0022</v>
      </c>
      <c r="J65" t="s">
        <v>14</v>
      </c>
      <c r="K65" t="s">
        <v>236</v>
      </c>
    </row>
    <row r="66" spans="1:11" s="5" customFormat="1" hidden="1" x14ac:dyDescent="0.25">
      <c r="A66" s="1">
        <f t="shared" si="4"/>
        <v>18</v>
      </c>
      <c r="B66" s="5">
        <v>12</v>
      </c>
      <c r="C66" s="5" t="str">
        <f t="shared" ref="C66:C129" si="6">"0x"&amp;TEXT(DEC2HEX(A66),"00")</f>
        <v>0x12</v>
      </c>
      <c r="D66" s="5" t="s">
        <v>284</v>
      </c>
      <c r="E66" s="5" t="s">
        <v>217</v>
      </c>
      <c r="F66" s="5" t="str">
        <f t="shared" si="5"/>
        <v>MSKLL</v>
      </c>
      <c r="G66" s="6">
        <v>22</v>
      </c>
      <c r="H66" s="7" t="str">
        <f t="shared" ref="H66:H129" si="7">"0x"&amp;RIGHT("0000"&amp;UPPER(SUBSTITUTE(TRIM(G66),"0X","")),4)</f>
        <v>0x0022</v>
      </c>
      <c r="I66" s="7"/>
      <c r="J66" s="5" t="s">
        <v>14</v>
      </c>
      <c r="K66" s="5" t="s">
        <v>236</v>
      </c>
    </row>
    <row r="67" spans="1:11" hidden="1" x14ac:dyDescent="0.25">
      <c r="A67" s="1">
        <f t="shared" si="4"/>
        <v>22</v>
      </c>
      <c r="B67">
        <v>16</v>
      </c>
      <c r="C67" t="str">
        <f t="shared" si="6"/>
        <v>0x16</v>
      </c>
      <c r="D67" t="s">
        <v>503</v>
      </c>
      <c r="E67" t="s">
        <v>396</v>
      </c>
      <c r="F67" t="str">
        <f t="shared" si="5"/>
        <v>MULT_C</v>
      </c>
      <c r="G67" s="2">
        <v>22</v>
      </c>
      <c r="H67" s="3" t="str">
        <f t="shared" si="7"/>
        <v>0x0022</v>
      </c>
      <c r="J67" t="s">
        <v>320</v>
      </c>
      <c r="K67" t="s">
        <v>240</v>
      </c>
    </row>
    <row r="68" spans="1:11" s="5" customFormat="1" hidden="1" x14ac:dyDescent="0.25">
      <c r="A68" s="1">
        <f t="shared" si="4"/>
        <v>0</v>
      </c>
      <c r="B68" s="5">
        <v>0</v>
      </c>
      <c r="C68" s="5" t="str">
        <f t="shared" si="6"/>
        <v>0x00</v>
      </c>
      <c r="D68" s="5" t="s">
        <v>53</v>
      </c>
      <c r="F68" s="5" t="str">
        <f t="shared" si="5"/>
        <v>MTPR_USP</v>
      </c>
      <c r="G68" s="6">
        <v>23</v>
      </c>
      <c r="H68" s="7" t="str">
        <f t="shared" si="7"/>
        <v>0x0023</v>
      </c>
      <c r="I68" s="7"/>
      <c r="J68" s="5" t="s">
        <v>14</v>
      </c>
      <c r="K68" s="5" t="s">
        <v>9</v>
      </c>
    </row>
    <row r="69" spans="1:11" s="5" customFormat="1" hidden="1" x14ac:dyDescent="0.25">
      <c r="A69" s="1">
        <f t="shared" si="4"/>
        <v>0</v>
      </c>
      <c r="B69" s="5">
        <v>0</v>
      </c>
      <c r="C69" s="5" t="str">
        <f t="shared" si="6"/>
        <v>0x00</v>
      </c>
      <c r="D69" s="5" t="s">
        <v>54</v>
      </c>
      <c r="F69" s="5" t="str">
        <f t="shared" si="5"/>
        <v>WRUSP</v>
      </c>
      <c r="G69" s="6">
        <v>23</v>
      </c>
      <c r="H69" s="7" t="str">
        <f t="shared" si="7"/>
        <v>0x0023</v>
      </c>
      <c r="I69" s="7"/>
      <c r="J69" s="5" t="s">
        <v>16</v>
      </c>
      <c r="K69" s="5" t="s">
        <v>17</v>
      </c>
    </row>
    <row r="70" spans="1:11" s="5" customFormat="1" hidden="1" x14ac:dyDescent="0.25">
      <c r="A70" s="1">
        <f t="shared" si="4"/>
        <v>22</v>
      </c>
      <c r="B70" s="5">
        <v>16</v>
      </c>
      <c r="C70" s="5" t="str">
        <f t="shared" si="6"/>
        <v>0x16</v>
      </c>
      <c r="D70" s="5" t="s">
        <v>504</v>
      </c>
      <c r="E70" s="5" t="s">
        <v>396</v>
      </c>
      <c r="F70" s="5" t="str">
        <f t="shared" si="5"/>
        <v>DIVT_C</v>
      </c>
      <c r="G70" s="6">
        <v>23</v>
      </c>
      <c r="H70" s="7" t="str">
        <f t="shared" si="7"/>
        <v>0x0023</v>
      </c>
      <c r="I70" s="7"/>
      <c r="J70" s="5" t="s">
        <v>320</v>
      </c>
      <c r="K70" s="5" t="s">
        <v>240</v>
      </c>
    </row>
    <row r="71" spans="1:11" s="5" customFormat="1" hidden="1" x14ac:dyDescent="0.25">
      <c r="A71" s="1">
        <f t="shared" si="4"/>
        <v>0</v>
      </c>
      <c r="B71" s="5">
        <v>0</v>
      </c>
      <c r="C71" s="5" t="str">
        <f t="shared" si="6"/>
        <v>0x00</v>
      </c>
      <c r="D71" s="5" t="s">
        <v>55</v>
      </c>
      <c r="F71" s="5" t="str">
        <f t="shared" si="5"/>
        <v>MTPR_TBISD</v>
      </c>
      <c r="G71" s="6">
        <v>24</v>
      </c>
      <c r="H71" s="7" t="str">
        <f t="shared" si="7"/>
        <v>0x0024</v>
      </c>
      <c r="I71" s="7"/>
      <c r="J71" s="5" t="s">
        <v>8</v>
      </c>
      <c r="K71" s="5" t="s">
        <v>9</v>
      </c>
    </row>
    <row r="72" spans="1:11" s="5" customFormat="1" hidden="1" x14ac:dyDescent="0.25">
      <c r="A72" s="1">
        <f t="shared" si="4"/>
        <v>17</v>
      </c>
      <c r="B72" s="5">
        <v>11</v>
      </c>
      <c r="C72" s="5" t="str">
        <f t="shared" si="6"/>
        <v>0x11</v>
      </c>
      <c r="D72" s="5" t="s">
        <v>270</v>
      </c>
      <c r="E72" s="5" t="s">
        <v>217</v>
      </c>
      <c r="F72" s="5" t="str">
        <f t="shared" si="5"/>
        <v>CMOVEQ</v>
      </c>
      <c r="G72" s="6">
        <v>24</v>
      </c>
      <c r="H72" s="7" t="str">
        <f t="shared" si="7"/>
        <v>0x0024</v>
      </c>
      <c r="I72" s="7"/>
      <c r="J72" s="5" t="s">
        <v>14</v>
      </c>
      <c r="K72" s="5" t="s">
        <v>236</v>
      </c>
    </row>
    <row r="73" spans="1:11" s="5" customFormat="1" hidden="1" x14ac:dyDescent="0.25">
      <c r="A73" s="1">
        <f t="shared" si="4"/>
        <v>0</v>
      </c>
      <c r="B73" s="5">
        <v>0</v>
      </c>
      <c r="C73" s="5" t="str">
        <f t="shared" si="6"/>
        <v>0x00</v>
      </c>
      <c r="D73" s="5" t="s">
        <v>56</v>
      </c>
      <c r="F73" s="5" t="str">
        <f t="shared" si="5"/>
        <v>MTPR_TBISI</v>
      </c>
      <c r="G73" s="6">
        <v>25</v>
      </c>
      <c r="H73" s="7" t="str">
        <f t="shared" si="7"/>
        <v>0x0025</v>
      </c>
      <c r="I73" s="7"/>
      <c r="J73" s="5" t="s">
        <v>8</v>
      </c>
      <c r="K73" s="5" t="s">
        <v>9</v>
      </c>
    </row>
    <row r="74" spans="1:11" s="5" customFormat="1" ht="5.25" hidden="1" customHeight="1" x14ac:dyDescent="0.25">
      <c r="A74" s="1">
        <f t="shared" si="4"/>
        <v>0</v>
      </c>
      <c r="B74" s="5">
        <v>0</v>
      </c>
      <c r="C74" s="5" t="str">
        <f t="shared" si="6"/>
        <v>0x00</v>
      </c>
      <c r="D74" s="5" t="s">
        <v>57</v>
      </c>
      <c r="F74" s="5" t="str">
        <f t="shared" si="5"/>
        <v>MFPR_ASTEN</v>
      </c>
      <c r="G74" s="6">
        <v>26</v>
      </c>
      <c r="H74" s="7" t="str">
        <f t="shared" si="7"/>
        <v>0x0026</v>
      </c>
      <c r="I74" s="7"/>
      <c r="J74" s="5" t="s">
        <v>8</v>
      </c>
      <c r="K74" s="5" t="s">
        <v>9</v>
      </c>
    </row>
    <row r="75" spans="1:11" s="5" customFormat="1" hidden="1" x14ac:dyDescent="0.25">
      <c r="A75" s="1">
        <f t="shared" si="4"/>
        <v>17</v>
      </c>
      <c r="B75" s="5">
        <v>11</v>
      </c>
      <c r="C75" s="5" t="str">
        <f t="shared" si="6"/>
        <v>0x11</v>
      </c>
      <c r="D75" s="5" t="s">
        <v>271</v>
      </c>
      <c r="E75" s="5" t="s">
        <v>217</v>
      </c>
      <c r="F75" s="5" t="str">
        <f t="shared" si="5"/>
        <v>CMOVNE</v>
      </c>
      <c r="G75" s="6">
        <v>26</v>
      </c>
      <c r="H75" s="7" t="str">
        <f t="shared" si="7"/>
        <v>0x0026</v>
      </c>
      <c r="I75" s="7"/>
      <c r="J75" s="5" t="s">
        <v>14</v>
      </c>
      <c r="K75" s="5" t="s">
        <v>240</v>
      </c>
    </row>
    <row r="76" spans="1:11" hidden="1" x14ac:dyDescent="0.25">
      <c r="A76" s="1">
        <f t="shared" si="4"/>
        <v>18</v>
      </c>
      <c r="B76">
        <v>12</v>
      </c>
      <c r="C76" t="str">
        <f t="shared" si="6"/>
        <v>0x12</v>
      </c>
      <c r="D76" t="s">
        <v>285</v>
      </c>
      <c r="E76" t="s">
        <v>217</v>
      </c>
      <c r="F76" t="str">
        <f t="shared" si="5"/>
        <v>EXTLL</v>
      </c>
      <c r="G76" s="2">
        <v>26</v>
      </c>
      <c r="H76" s="3" t="str">
        <f t="shared" si="7"/>
        <v>0x0026</v>
      </c>
      <c r="J76" t="s">
        <v>14</v>
      </c>
      <c r="K76" t="s">
        <v>236</v>
      </c>
    </row>
    <row r="77" spans="1:11" s="5" customFormat="1" hidden="1" x14ac:dyDescent="0.25">
      <c r="A77" s="1">
        <f t="shared" si="4"/>
        <v>0</v>
      </c>
      <c r="B77" s="5">
        <v>0</v>
      </c>
      <c r="C77" s="5" t="str">
        <f t="shared" si="6"/>
        <v>0x00</v>
      </c>
      <c r="D77" s="5" t="s">
        <v>58</v>
      </c>
      <c r="F77" s="5" t="str">
        <f t="shared" si="5"/>
        <v>MFPR_ASTSR</v>
      </c>
      <c r="G77" s="6">
        <v>27</v>
      </c>
      <c r="H77" s="7" t="str">
        <f t="shared" si="7"/>
        <v>0x0027</v>
      </c>
      <c r="I77" s="7"/>
      <c r="J77" s="5" t="s">
        <v>8</v>
      </c>
      <c r="K77" s="5" t="s">
        <v>9</v>
      </c>
    </row>
    <row r="78" spans="1:11" s="5" customFormat="1" hidden="1" x14ac:dyDescent="0.25">
      <c r="A78" s="1">
        <f t="shared" si="4"/>
        <v>17</v>
      </c>
      <c r="B78" s="5">
        <v>11</v>
      </c>
      <c r="C78" s="5" t="str">
        <f t="shared" si="6"/>
        <v>0x11</v>
      </c>
      <c r="D78" s="5" t="s">
        <v>272</v>
      </c>
      <c r="E78" s="5" t="s">
        <v>217</v>
      </c>
      <c r="F78" s="5" t="str">
        <f t="shared" si="5"/>
        <v>ORNOT</v>
      </c>
      <c r="G78" s="6">
        <v>28</v>
      </c>
      <c r="H78" s="7" t="str">
        <f t="shared" si="7"/>
        <v>0x0028</v>
      </c>
      <c r="I78" s="7"/>
      <c r="J78" s="5" t="s">
        <v>14</v>
      </c>
      <c r="K78" s="5" t="s">
        <v>236</v>
      </c>
    </row>
    <row r="79" spans="1:11" s="5" customFormat="1" hidden="1" x14ac:dyDescent="0.25">
      <c r="A79" s="1">
        <f t="shared" si="4"/>
        <v>0</v>
      </c>
      <c r="B79" s="5">
        <v>0</v>
      </c>
      <c r="C79" s="5" t="str">
        <f t="shared" si="6"/>
        <v>0x00</v>
      </c>
      <c r="D79" s="5" t="s">
        <v>59</v>
      </c>
      <c r="F79" s="5" t="str">
        <f t="shared" si="5"/>
        <v>MFPR_VPTB</v>
      </c>
      <c r="G79" s="6">
        <v>29</v>
      </c>
      <c r="H79" s="7" t="str">
        <f t="shared" si="7"/>
        <v>0x0029</v>
      </c>
      <c r="I79" s="7"/>
      <c r="J79" s="5" t="s">
        <v>8</v>
      </c>
      <c r="K79" s="5" t="s">
        <v>9</v>
      </c>
    </row>
    <row r="80" spans="1:11" hidden="1" x14ac:dyDescent="0.25">
      <c r="A80" s="1">
        <f t="shared" si="4"/>
        <v>16</v>
      </c>
      <c r="B80">
        <v>10</v>
      </c>
      <c r="C80" t="str">
        <f t="shared" si="6"/>
        <v>0x10</v>
      </c>
      <c r="D80" t="s">
        <v>264</v>
      </c>
      <c r="E80" t="s">
        <v>217</v>
      </c>
      <c r="F80" t="str">
        <f t="shared" si="5"/>
        <v>SUBQ</v>
      </c>
      <c r="G80" s="2">
        <v>29</v>
      </c>
      <c r="H80" s="3" t="str">
        <f t="shared" si="7"/>
        <v>0x0029</v>
      </c>
      <c r="J80" t="s">
        <v>14</v>
      </c>
      <c r="K80" t="s">
        <v>240</v>
      </c>
    </row>
    <row r="81" spans="1:11" hidden="1" x14ac:dyDescent="0.25">
      <c r="A81" s="1">
        <f t="shared" si="4"/>
        <v>0</v>
      </c>
      <c r="B81">
        <v>0</v>
      </c>
      <c r="C81" t="str">
        <f t="shared" si="6"/>
        <v>0x00</v>
      </c>
      <c r="D81" t="s">
        <v>20</v>
      </c>
      <c r="F81" t="str">
        <f t="shared" si="5"/>
        <v>SWPCTX</v>
      </c>
      <c r="G81" s="2">
        <v>30</v>
      </c>
      <c r="H81" s="3" t="str">
        <f t="shared" si="7"/>
        <v>0x0030</v>
      </c>
      <c r="J81" t="s">
        <v>16</v>
      </c>
      <c r="K81" t="s">
        <v>11</v>
      </c>
    </row>
    <row r="82" spans="1:11" hidden="1" x14ac:dyDescent="0.25">
      <c r="A82" s="1">
        <f t="shared" si="4"/>
        <v>0</v>
      </c>
      <c r="B82">
        <v>0</v>
      </c>
      <c r="C82" t="str">
        <f t="shared" si="6"/>
        <v>0x00</v>
      </c>
      <c r="D82" t="s">
        <v>60</v>
      </c>
      <c r="F82" t="str">
        <f t="shared" si="5"/>
        <v>RDCOUNTERS</v>
      </c>
      <c r="G82" s="2">
        <v>30</v>
      </c>
      <c r="H82" s="3" t="str">
        <f t="shared" si="7"/>
        <v>0x0030</v>
      </c>
      <c r="J82" t="s">
        <v>16</v>
      </c>
      <c r="K82" t="s">
        <v>17</v>
      </c>
    </row>
    <row r="83" spans="1:11" hidden="1" x14ac:dyDescent="0.25">
      <c r="A83" s="1">
        <f t="shared" si="4"/>
        <v>18</v>
      </c>
      <c r="B83">
        <v>12</v>
      </c>
      <c r="C83" t="str">
        <f t="shared" si="6"/>
        <v>0x12</v>
      </c>
      <c r="D83" t="s">
        <v>286</v>
      </c>
      <c r="E83" t="s">
        <v>217</v>
      </c>
      <c r="F83" t="str">
        <f t="shared" si="5"/>
        <v>ZAP</v>
      </c>
      <c r="G83" s="2">
        <v>30</v>
      </c>
      <c r="H83" s="3" t="str">
        <f t="shared" si="7"/>
        <v>0x0030</v>
      </c>
      <c r="J83" t="s">
        <v>14</v>
      </c>
      <c r="K83" t="s">
        <v>236</v>
      </c>
    </row>
    <row r="84" spans="1:11" s="5" customFormat="1" hidden="1" x14ac:dyDescent="0.25">
      <c r="A84" s="1">
        <f t="shared" si="4"/>
        <v>19</v>
      </c>
      <c r="B84" s="5">
        <v>13</v>
      </c>
      <c r="C84" s="5" t="str">
        <f t="shared" si="6"/>
        <v>0x13</v>
      </c>
      <c r="D84" s="5" t="s">
        <v>312</v>
      </c>
      <c r="E84" s="5" t="s">
        <v>217</v>
      </c>
      <c r="F84" s="5" t="str">
        <f t="shared" si="5"/>
        <v>UMULH</v>
      </c>
      <c r="G84" s="6">
        <v>30</v>
      </c>
      <c r="H84" s="7" t="str">
        <f t="shared" si="7"/>
        <v>0x0030</v>
      </c>
      <c r="I84" s="7"/>
      <c r="J84" s="5" t="s">
        <v>14</v>
      </c>
      <c r="K84" s="5" t="s">
        <v>236</v>
      </c>
    </row>
    <row r="85" spans="1:11" s="5" customFormat="1" hidden="1" x14ac:dyDescent="0.25">
      <c r="A85" s="1">
        <f t="shared" si="4"/>
        <v>0</v>
      </c>
      <c r="B85" s="5">
        <v>0</v>
      </c>
      <c r="C85" s="5" t="str">
        <f t="shared" si="6"/>
        <v>0x00</v>
      </c>
      <c r="D85" s="5" t="s">
        <v>61</v>
      </c>
      <c r="F85" s="5" t="str">
        <f t="shared" si="5"/>
        <v>WRVAL</v>
      </c>
      <c r="G85" s="6">
        <v>31</v>
      </c>
      <c r="H85" s="7" t="str">
        <f t="shared" si="7"/>
        <v>0x0031</v>
      </c>
      <c r="I85" s="7"/>
      <c r="J85" s="5" t="s">
        <v>8</v>
      </c>
      <c r="K85" s="5" t="s">
        <v>11</v>
      </c>
    </row>
    <row r="86" spans="1:11" hidden="1" x14ac:dyDescent="0.25">
      <c r="A86" s="1">
        <f t="shared" si="4"/>
        <v>18</v>
      </c>
      <c r="B86">
        <v>12</v>
      </c>
      <c r="C86" t="str">
        <f t="shared" si="6"/>
        <v>0x12</v>
      </c>
      <c r="D86" t="s">
        <v>287</v>
      </c>
      <c r="E86" t="s">
        <v>217</v>
      </c>
      <c r="F86" t="str">
        <f t="shared" si="5"/>
        <v>ZAPNOT</v>
      </c>
      <c r="G86" s="2">
        <v>31</v>
      </c>
      <c r="H86" s="3" t="str">
        <f t="shared" si="7"/>
        <v>0x0031</v>
      </c>
      <c r="J86" t="s">
        <v>14</v>
      </c>
      <c r="K86" t="s">
        <v>236</v>
      </c>
    </row>
    <row r="87" spans="1:11" s="5" customFormat="1" hidden="1" x14ac:dyDescent="0.25">
      <c r="A87" s="1">
        <f t="shared" si="4"/>
        <v>0</v>
      </c>
      <c r="B87" s="5">
        <v>0</v>
      </c>
      <c r="C87" s="5" t="str">
        <f t="shared" si="6"/>
        <v>0x00</v>
      </c>
      <c r="D87" s="5" t="s">
        <v>62</v>
      </c>
      <c r="F87" s="5" t="str">
        <f t="shared" si="5"/>
        <v>RDVAL</v>
      </c>
      <c r="G87" s="6">
        <v>32</v>
      </c>
      <c r="H87" s="7" t="str">
        <f t="shared" si="7"/>
        <v>0x0032</v>
      </c>
      <c r="I87" s="7"/>
      <c r="J87" s="5" t="s">
        <v>8</v>
      </c>
      <c r="K87" s="5" t="s">
        <v>11</v>
      </c>
    </row>
    <row r="88" spans="1:11" hidden="1" x14ac:dyDescent="0.25">
      <c r="A88" s="1">
        <f t="shared" si="4"/>
        <v>16</v>
      </c>
      <c r="B88">
        <v>10</v>
      </c>
      <c r="C88" t="str">
        <f t="shared" si="6"/>
        <v>0x10</v>
      </c>
      <c r="D88" t="s">
        <v>257</v>
      </c>
      <c r="E88" t="s">
        <v>217</v>
      </c>
      <c r="F88" t="str">
        <f t="shared" si="5"/>
        <v>S8ADDQ</v>
      </c>
      <c r="G88" s="2">
        <v>32</v>
      </c>
      <c r="H88" s="3" t="str">
        <f t="shared" si="7"/>
        <v>0x0032</v>
      </c>
      <c r="J88" t="s">
        <v>14</v>
      </c>
      <c r="K88" t="s">
        <v>236</v>
      </c>
    </row>
    <row r="89" spans="1:11" s="5" customFormat="1" hidden="1" x14ac:dyDescent="0.25">
      <c r="A89" s="1">
        <f t="shared" si="4"/>
        <v>18</v>
      </c>
      <c r="B89" s="5">
        <v>12</v>
      </c>
      <c r="C89" s="5" t="str">
        <f t="shared" si="6"/>
        <v>0x12</v>
      </c>
      <c r="D89" s="5" t="s">
        <v>288</v>
      </c>
      <c r="E89" s="5" t="s">
        <v>217</v>
      </c>
      <c r="F89" s="5" t="str">
        <f t="shared" si="5"/>
        <v>MSKQL</v>
      </c>
      <c r="G89" s="6">
        <v>32</v>
      </c>
      <c r="H89" s="7" t="str">
        <f t="shared" si="7"/>
        <v>0x0032</v>
      </c>
      <c r="I89" s="7"/>
      <c r="J89" s="5" t="s">
        <v>14</v>
      </c>
      <c r="K89" s="5" t="s">
        <v>236</v>
      </c>
    </row>
    <row r="90" spans="1:11" hidden="1" x14ac:dyDescent="0.25">
      <c r="A90" s="1">
        <f t="shared" si="4"/>
        <v>0</v>
      </c>
      <c r="B90">
        <v>0</v>
      </c>
      <c r="C90" t="str">
        <f t="shared" si="6"/>
        <v>0x00</v>
      </c>
      <c r="D90" t="s">
        <v>63</v>
      </c>
      <c r="F90" t="str">
        <f t="shared" si="5"/>
        <v>TBI</v>
      </c>
      <c r="G90" s="2">
        <v>33</v>
      </c>
      <c r="H90" s="3" t="str">
        <f t="shared" si="7"/>
        <v>0x0033</v>
      </c>
      <c r="J90" t="s">
        <v>8</v>
      </c>
      <c r="K90" t="s">
        <v>11</v>
      </c>
    </row>
    <row r="91" spans="1:11" s="5" customFormat="1" hidden="1" x14ac:dyDescent="0.25">
      <c r="A91" s="1">
        <f t="shared" si="4"/>
        <v>0</v>
      </c>
      <c r="B91" s="5">
        <v>0</v>
      </c>
      <c r="C91" s="5" t="str">
        <f t="shared" si="6"/>
        <v>0x00</v>
      </c>
      <c r="D91" s="5" t="s">
        <v>64</v>
      </c>
      <c r="F91" s="5" t="str">
        <f t="shared" si="5"/>
        <v>WRENT</v>
      </c>
      <c r="G91" s="6">
        <v>34</v>
      </c>
      <c r="H91" s="7" t="str">
        <f t="shared" si="7"/>
        <v>0x0034</v>
      </c>
      <c r="I91" s="7"/>
      <c r="J91" s="5" t="s">
        <v>8</v>
      </c>
      <c r="K91" s="5" t="s">
        <v>11</v>
      </c>
    </row>
    <row r="92" spans="1:11" s="5" customFormat="1" hidden="1" x14ac:dyDescent="0.25">
      <c r="A92" s="1">
        <f t="shared" si="4"/>
        <v>14</v>
      </c>
      <c r="B92" s="5" t="s">
        <v>725</v>
      </c>
      <c r="C92" s="5" t="str">
        <f t="shared" si="6"/>
        <v>0xE</v>
      </c>
      <c r="D92" s="5" t="s">
        <v>289</v>
      </c>
      <c r="E92" s="5" t="s">
        <v>217</v>
      </c>
      <c r="F92" s="5" t="str">
        <f t="shared" si="5"/>
        <v>SRL</v>
      </c>
      <c r="G92" s="6">
        <v>34</v>
      </c>
      <c r="H92" s="7" t="str">
        <f t="shared" si="7"/>
        <v>0x0034</v>
      </c>
      <c r="I92" s="7"/>
      <c r="J92" s="5" t="s">
        <v>14</v>
      </c>
      <c r="K92" s="5" t="s">
        <v>230</v>
      </c>
    </row>
    <row r="93" spans="1:11" hidden="1" x14ac:dyDescent="0.25">
      <c r="A93" s="1">
        <f t="shared" si="4"/>
        <v>0</v>
      </c>
      <c r="B93">
        <v>0</v>
      </c>
      <c r="C93" t="str">
        <f t="shared" si="6"/>
        <v>0x00</v>
      </c>
      <c r="D93" t="s">
        <v>50</v>
      </c>
      <c r="F93" t="str">
        <f t="shared" si="5"/>
        <v>SWPIPL</v>
      </c>
      <c r="G93" s="2">
        <v>35</v>
      </c>
      <c r="H93" s="3" t="str">
        <f t="shared" si="7"/>
        <v>0x0035</v>
      </c>
      <c r="J93" t="s">
        <v>8</v>
      </c>
      <c r="K93" t="s">
        <v>11</v>
      </c>
    </row>
    <row r="94" spans="1:11" s="5" customFormat="1" hidden="1" x14ac:dyDescent="0.25">
      <c r="A94" s="1">
        <f t="shared" si="4"/>
        <v>0</v>
      </c>
      <c r="B94" s="5">
        <v>0</v>
      </c>
      <c r="C94" s="5" t="str">
        <f t="shared" si="6"/>
        <v>0x00</v>
      </c>
      <c r="D94" s="5" t="s">
        <v>65</v>
      </c>
      <c r="F94" s="5" t="str">
        <f t="shared" si="5"/>
        <v>RDPS</v>
      </c>
      <c r="G94" s="6">
        <v>36</v>
      </c>
      <c r="H94" s="7" t="str">
        <f t="shared" si="7"/>
        <v>0x0036</v>
      </c>
      <c r="I94" s="7"/>
      <c r="J94" s="5" t="s">
        <v>8</v>
      </c>
      <c r="K94" s="5" t="s">
        <v>11</v>
      </c>
    </row>
    <row r="95" spans="1:11" hidden="1" x14ac:dyDescent="0.25">
      <c r="A95" s="1">
        <f t="shared" si="4"/>
        <v>18</v>
      </c>
      <c r="B95">
        <v>12</v>
      </c>
      <c r="C95" t="str">
        <f t="shared" si="6"/>
        <v>0x12</v>
      </c>
      <c r="D95" t="s">
        <v>290</v>
      </c>
      <c r="E95" t="s">
        <v>217</v>
      </c>
      <c r="F95" t="str">
        <f t="shared" si="5"/>
        <v>EXTQL</v>
      </c>
      <c r="G95" s="2">
        <v>36</v>
      </c>
      <c r="H95" s="3" t="str">
        <f t="shared" si="7"/>
        <v>0x0036</v>
      </c>
      <c r="J95" t="s">
        <v>14</v>
      </c>
      <c r="K95" t="s">
        <v>236</v>
      </c>
    </row>
    <row r="96" spans="1:11" s="5" customFormat="1" hidden="1" x14ac:dyDescent="0.25">
      <c r="A96" s="1">
        <f t="shared" si="4"/>
        <v>0</v>
      </c>
      <c r="B96" s="5">
        <v>0</v>
      </c>
      <c r="C96" s="5" t="str">
        <f t="shared" si="6"/>
        <v>0x00</v>
      </c>
      <c r="D96" s="5" t="s">
        <v>66</v>
      </c>
      <c r="F96" s="5" t="str">
        <f t="shared" si="5"/>
        <v>WRKGP</v>
      </c>
      <c r="G96" s="6">
        <v>37</v>
      </c>
      <c r="H96" s="7" t="str">
        <f t="shared" si="7"/>
        <v>0x0037</v>
      </c>
      <c r="I96" s="7"/>
      <c r="J96" s="5" t="s">
        <v>8</v>
      </c>
      <c r="K96" s="5" t="s">
        <v>11</v>
      </c>
    </row>
    <row r="97" spans="1:11" s="5" customFormat="1" hidden="1" x14ac:dyDescent="0.25">
      <c r="A97" s="1">
        <f t="shared" si="4"/>
        <v>0</v>
      </c>
      <c r="B97" s="5">
        <v>0</v>
      </c>
      <c r="C97" s="5" t="str">
        <f t="shared" si="6"/>
        <v>0x00</v>
      </c>
      <c r="D97" s="5" t="s">
        <v>54</v>
      </c>
      <c r="F97" s="5" t="str">
        <f t="shared" si="5"/>
        <v>WRUSP</v>
      </c>
      <c r="G97" s="6">
        <v>38</v>
      </c>
      <c r="H97" s="7" t="str">
        <f t="shared" si="7"/>
        <v>0x0038</v>
      </c>
      <c r="I97" s="7"/>
      <c r="J97" s="5" t="s">
        <v>8</v>
      </c>
      <c r="K97" s="5" t="s">
        <v>11</v>
      </c>
    </row>
    <row r="98" spans="1:11" hidden="1" x14ac:dyDescent="0.25">
      <c r="A98" s="1">
        <f t="shared" si="4"/>
        <v>0</v>
      </c>
      <c r="B98">
        <v>0</v>
      </c>
      <c r="C98" t="str">
        <f t="shared" si="6"/>
        <v>0x00</v>
      </c>
      <c r="D98" t="s">
        <v>48</v>
      </c>
      <c r="F98" t="str">
        <f t="shared" si="5"/>
        <v>WRPERFMON</v>
      </c>
      <c r="G98" s="2">
        <v>39</v>
      </c>
      <c r="H98" s="3" t="str">
        <f t="shared" si="7"/>
        <v>0x0039</v>
      </c>
      <c r="J98" t="s">
        <v>8</v>
      </c>
      <c r="K98" t="s">
        <v>11</v>
      </c>
    </row>
    <row r="99" spans="1:11" s="5" customFormat="1" hidden="1" x14ac:dyDescent="0.25">
      <c r="A99" s="1">
        <f t="shared" si="4"/>
        <v>18</v>
      </c>
      <c r="B99" s="5">
        <v>12</v>
      </c>
      <c r="C99" s="5" t="str">
        <f t="shared" si="6"/>
        <v>0x12</v>
      </c>
      <c r="D99" s="5" t="s">
        <v>291</v>
      </c>
      <c r="E99" s="5" t="s">
        <v>217</v>
      </c>
      <c r="F99" s="5" t="str">
        <f t="shared" si="5"/>
        <v>SLL</v>
      </c>
      <c r="G99" s="6">
        <v>39</v>
      </c>
      <c r="H99" s="7" t="str">
        <f t="shared" si="7"/>
        <v>0x0039</v>
      </c>
      <c r="I99" s="7"/>
      <c r="J99" s="5" t="s">
        <v>14</v>
      </c>
      <c r="K99" s="5" t="s">
        <v>236</v>
      </c>
    </row>
    <row r="100" spans="1:11" hidden="1" x14ac:dyDescent="0.25">
      <c r="A100" s="1">
        <f t="shared" si="4"/>
        <v>16</v>
      </c>
      <c r="B100">
        <v>10</v>
      </c>
      <c r="C100" t="str">
        <f t="shared" si="6"/>
        <v>0x10</v>
      </c>
      <c r="D100" t="s">
        <v>235</v>
      </c>
      <c r="E100" t="s">
        <v>217</v>
      </c>
      <c r="F100" t="str">
        <f t="shared" si="5"/>
        <v>ADDL</v>
      </c>
      <c r="G100" s="2">
        <v>40</v>
      </c>
      <c r="H100" s="3" t="str">
        <f t="shared" si="7"/>
        <v>0x0040</v>
      </c>
      <c r="J100" t="s">
        <v>14</v>
      </c>
      <c r="K100" t="s">
        <v>237</v>
      </c>
    </row>
    <row r="101" spans="1:11" s="5" customFormat="1" hidden="1" x14ac:dyDescent="0.25">
      <c r="A101" s="1">
        <f t="shared" si="4"/>
        <v>17</v>
      </c>
      <c r="B101" s="5">
        <v>11</v>
      </c>
      <c r="C101" s="5" t="str">
        <f t="shared" si="6"/>
        <v>0x11</v>
      </c>
      <c r="D101" s="5" t="s">
        <v>273</v>
      </c>
      <c r="E101" s="5" t="s">
        <v>217</v>
      </c>
      <c r="F101" s="5" t="str">
        <f t="shared" si="5"/>
        <v>XOR</v>
      </c>
      <c r="G101" s="6">
        <v>40</v>
      </c>
      <c r="H101" s="7" t="str">
        <f t="shared" si="7"/>
        <v>0x0040</v>
      </c>
      <c r="I101" s="7"/>
      <c r="J101" s="5" t="s">
        <v>14</v>
      </c>
      <c r="K101" s="5" t="s">
        <v>274</v>
      </c>
    </row>
    <row r="102" spans="1:11" hidden="1" x14ac:dyDescent="0.25">
      <c r="A102" s="1">
        <f t="shared" si="4"/>
        <v>19</v>
      </c>
      <c r="B102">
        <v>13</v>
      </c>
      <c r="C102" t="str">
        <f t="shared" si="6"/>
        <v>0x13</v>
      </c>
      <c r="D102" t="s">
        <v>313</v>
      </c>
      <c r="E102" t="s">
        <v>217</v>
      </c>
      <c r="F102" t="str">
        <f t="shared" si="5"/>
        <v>MULLN</v>
      </c>
      <c r="G102" s="2">
        <v>40</v>
      </c>
      <c r="H102" s="3" t="str">
        <f t="shared" si="7"/>
        <v>0x0040</v>
      </c>
      <c r="J102" t="s">
        <v>14</v>
      </c>
      <c r="K102" t="s">
        <v>236</v>
      </c>
    </row>
    <row r="103" spans="1:11" s="5" customFormat="1" hidden="1" x14ac:dyDescent="0.25">
      <c r="A103" s="1">
        <f t="shared" si="4"/>
        <v>22</v>
      </c>
      <c r="B103" s="5">
        <v>16</v>
      </c>
      <c r="C103" s="5" t="str">
        <f t="shared" si="6"/>
        <v>0x16</v>
      </c>
      <c r="D103" s="5" t="s">
        <v>505</v>
      </c>
      <c r="E103" s="5" t="s">
        <v>506</v>
      </c>
      <c r="F103" s="5" t="str">
        <f t="shared" si="5"/>
        <v>ADDS_M</v>
      </c>
      <c r="G103" s="6">
        <v>40</v>
      </c>
      <c r="H103" s="7" t="str">
        <f t="shared" si="7"/>
        <v>0x0040</v>
      </c>
      <c r="I103" s="7"/>
      <c r="J103" s="5" t="s">
        <v>320</v>
      </c>
      <c r="K103" s="5" t="s">
        <v>240</v>
      </c>
    </row>
    <row r="104" spans="1:11" hidden="1" x14ac:dyDescent="0.25">
      <c r="A104" s="1">
        <f t="shared" si="4"/>
        <v>22</v>
      </c>
      <c r="B104">
        <v>16</v>
      </c>
      <c r="C104" t="str">
        <f t="shared" si="6"/>
        <v>0x16</v>
      </c>
      <c r="D104" t="s">
        <v>499</v>
      </c>
      <c r="E104" t="s">
        <v>506</v>
      </c>
      <c r="F104" t="str">
        <f t="shared" si="5"/>
        <v>SUBS_M</v>
      </c>
      <c r="G104" s="2">
        <v>41</v>
      </c>
      <c r="H104" s="3" t="str">
        <f t="shared" si="7"/>
        <v>0x0041</v>
      </c>
      <c r="J104" t="s">
        <v>320</v>
      </c>
      <c r="K104" t="s">
        <v>240</v>
      </c>
    </row>
    <row r="105" spans="1:11" hidden="1" x14ac:dyDescent="0.25">
      <c r="A105" s="1">
        <f t="shared" si="4"/>
        <v>22</v>
      </c>
      <c r="B105">
        <v>16</v>
      </c>
      <c r="C105" t="str">
        <f t="shared" si="6"/>
        <v>0x16</v>
      </c>
      <c r="D105" t="s">
        <v>500</v>
      </c>
      <c r="E105" t="s">
        <v>506</v>
      </c>
      <c r="F105" t="str">
        <f t="shared" si="5"/>
        <v>MULS_M</v>
      </c>
      <c r="G105" s="2">
        <v>42</v>
      </c>
      <c r="H105" s="3" t="str">
        <f t="shared" si="7"/>
        <v>0x0042</v>
      </c>
      <c r="J105" t="s">
        <v>320</v>
      </c>
      <c r="K105" t="s">
        <v>240</v>
      </c>
    </row>
    <row r="106" spans="1:11" s="5" customFormat="1" hidden="1" x14ac:dyDescent="0.25">
      <c r="A106" s="1">
        <f t="shared" si="4"/>
        <v>22</v>
      </c>
      <c r="B106" s="5">
        <v>16</v>
      </c>
      <c r="C106" s="5" t="str">
        <f t="shared" si="6"/>
        <v>0x16</v>
      </c>
      <c r="D106" s="5" t="s">
        <v>501</v>
      </c>
      <c r="E106" s="5" t="s">
        <v>506</v>
      </c>
      <c r="F106" s="5" t="str">
        <f t="shared" si="5"/>
        <v>DIVS_M</v>
      </c>
      <c r="G106" s="6">
        <v>43</v>
      </c>
      <c r="H106" s="7" t="str">
        <f t="shared" si="7"/>
        <v>0x0043</v>
      </c>
      <c r="I106" s="7"/>
      <c r="J106" s="5" t="s">
        <v>320</v>
      </c>
      <c r="K106" s="5" t="s">
        <v>240</v>
      </c>
    </row>
    <row r="107" spans="1:11" s="5" customFormat="1" hidden="1" x14ac:dyDescent="0.25">
      <c r="A107" s="1">
        <f t="shared" si="4"/>
        <v>17</v>
      </c>
      <c r="B107" s="5">
        <v>11</v>
      </c>
      <c r="C107" s="5" t="str">
        <f t="shared" si="6"/>
        <v>0x11</v>
      </c>
      <c r="D107" s="5" t="s">
        <v>275</v>
      </c>
      <c r="E107" s="5" t="s">
        <v>217</v>
      </c>
      <c r="F107" s="5" t="str">
        <f t="shared" si="5"/>
        <v>CMOVLT</v>
      </c>
      <c r="G107" s="6">
        <v>44</v>
      </c>
      <c r="H107" s="7" t="str">
        <f t="shared" si="7"/>
        <v>0x0044</v>
      </c>
      <c r="I107" s="7"/>
      <c r="J107" s="5" t="s">
        <v>14</v>
      </c>
      <c r="K107" s="5" t="s">
        <v>236</v>
      </c>
    </row>
    <row r="108" spans="1:11" s="5" customFormat="1" hidden="1" x14ac:dyDescent="0.25">
      <c r="A108" s="1">
        <f t="shared" si="4"/>
        <v>17</v>
      </c>
      <c r="B108" s="5">
        <v>11</v>
      </c>
      <c r="C108" s="5" t="str">
        <f t="shared" si="6"/>
        <v>0x11</v>
      </c>
      <c r="D108" s="5" t="s">
        <v>276</v>
      </c>
      <c r="E108" s="5" t="s">
        <v>217</v>
      </c>
      <c r="F108" s="5" t="str">
        <f t="shared" si="5"/>
        <v>CMOVGE</v>
      </c>
      <c r="G108" s="6">
        <v>46</v>
      </c>
      <c r="H108" s="7" t="str">
        <f t="shared" si="7"/>
        <v>0x0046</v>
      </c>
      <c r="I108" s="7"/>
      <c r="J108" s="5" t="s">
        <v>14</v>
      </c>
      <c r="K108" s="5" t="s">
        <v>236</v>
      </c>
    </row>
    <row r="109" spans="1:11" s="5" customFormat="1" hidden="1" x14ac:dyDescent="0.25">
      <c r="A109" s="1">
        <f t="shared" si="4"/>
        <v>17</v>
      </c>
      <c r="B109" s="5">
        <v>11</v>
      </c>
      <c r="C109" s="5" t="str">
        <f t="shared" si="6"/>
        <v>0x11</v>
      </c>
      <c r="D109" s="5" t="s">
        <v>277</v>
      </c>
      <c r="E109" s="5" t="s">
        <v>217</v>
      </c>
      <c r="F109" s="5" t="str">
        <f t="shared" si="5"/>
        <v>EQV</v>
      </c>
      <c r="G109" s="6">
        <v>48</v>
      </c>
      <c r="H109" s="7" t="str">
        <f t="shared" si="7"/>
        <v>0x0048</v>
      </c>
      <c r="I109" s="7"/>
      <c r="J109" s="5" t="s">
        <v>14</v>
      </c>
      <c r="K109" s="5" t="s">
        <v>236</v>
      </c>
    </row>
    <row r="110" spans="1:11" hidden="1" x14ac:dyDescent="0.25">
      <c r="A110" s="1">
        <f t="shared" si="4"/>
        <v>16</v>
      </c>
      <c r="B110">
        <v>10</v>
      </c>
      <c r="C110" t="str">
        <f t="shared" si="6"/>
        <v>0x10</v>
      </c>
      <c r="D110" t="s">
        <v>262</v>
      </c>
      <c r="E110" t="s">
        <v>263</v>
      </c>
      <c r="F110" t="str">
        <f t="shared" si="5"/>
        <v>SUBL_V</v>
      </c>
      <c r="G110" s="2">
        <v>49</v>
      </c>
      <c r="H110" s="3" t="str">
        <f t="shared" si="7"/>
        <v>0x0049</v>
      </c>
      <c r="J110" t="s">
        <v>14</v>
      </c>
      <c r="K110" t="s">
        <v>240</v>
      </c>
    </row>
    <row r="111" spans="1:11" s="5" customFormat="1" hidden="1" x14ac:dyDescent="0.25">
      <c r="A111" s="1">
        <f t="shared" si="4"/>
        <v>18</v>
      </c>
      <c r="B111" s="5">
        <v>12</v>
      </c>
      <c r="C111" s="5" t="str">
        <f t="shared" si="6"/>
        <v>0x12</v>
      </c>
      <c r="D111" s="5" t="s">
        <v>292</v>
      </c>
      <c r="E111" s="5" t="s">
        <v>217</v>
      </c>
      <c r="F111" s="5" t="str">
        <f t="shared" si="5"/>
        <v>MSKWH</v>
      </c>
      <c r="G111" s="6">
        <v>52</v>
      </c>
      <c r="H111" s="7" t="str">
        <f t="shared" si="7"/>
        <v>0x0052</v>
      </c>
      <c r="I111" s="7"/>
      <c r="J111" s="5" t="s">
        <v>14</v>
      </c>
      <c r="K111" s="5" t="s">
        <v>236</v>
      </c>
    </row>
    <row r="112" spans="1:11" s="5" customFormat="1" hidden="1" x14ac:dyDescent="0.25">
      <c r="A112" s="1">
        <f t="shared" si="4"/>
        <v>18</v>
      </c>
      <c r="B112" s="5">
        <v>12</v>
      </c>
      <c r="C112" s="5" t="str">
        <f t="shared" si="6"/>
        <v>0x12</v>
      </c>
      <c r="D112" s="5" t="s">
        <v>293</v>
      </c>
      <c r="E112" s="5" t="s">
        <v>217</v>
      </c>
      <c r="F112" s="5" t="str">
        <f t="shared" si="5"/>
        <v>INSWH</v>
      </c>
      <c r="G112" s="6">
        <v>57</v>
      </c>
      <c r="H112" s="7" t="str">
        <f t="shared" si="7"/>
        <v>0x0057</v>
      </c>
      <c r="I112" s="7"/>
      <c r="J112" s="5" t="s">
        <v>14</v>
      </c>
      <c r="K112" s="5" t="s">
        <v>236</v>
      </c>
    </row>
    <row r="113" spans="1:11" s="5" customFormat="1" hidden="1" x14ac:dyDescent="0.25">
      <c r="A113" s="1">
        <f t="shared" si="4"/>
        <v>16</v>
      </c>
      <c r="B113" s="5">
        <v>10</v>
      </c>
      <c r="C113" s="5" t="str">
        <f t="shared" si="6"/>
        <v>0x10</v>
      </c>
      <c r="D113" s="5" t="s">
        <v>238</v>
      </c>
      <c r="E113" s="5" t="s">
        <v>217</v>
      </c>
      <c r="F113" s="5" t="str">
        <f t="shared" si="5"/>
        <v>ADDQ</v>
      </c>
      <c r="G113" s="6">
        <v>60</v>
      </c>
      <c r="H113" s="7" t="str">
        <f t="shared" si="7"/>
        <v>0x0060</v>
      </c>
      <c r="I113" s="7"/>
      <c r="J113" s="5" t="s">
        <v>14</v>
      </c>
      <c r="K113" s="5" t="s">
        <v>237</v>
      </c>
    </row>
    <row r="114" spans="1:11" hidden="1" x14ac:dyDescent="0.25">
      <c r="A114" s="1">
        <f t="shared" si="4"/>
        <v>19</v>
      </c>
      <c r="B114">
        <v>13</v>
      </c>
      <c r="C114" t="str">
        <f t="shared" si="6"/>
        <v>0x13</v>
      </c>
      <c r="D114" t="s">
        <v>314</v>
      </c>
      <c r="E114" t="s">
        <v>217</v>
      </c>
      <c r="F114" t="str">
        <f t="shared" si="5"/>
        <v>MULQN</v>
      </c>
      <c r="G114" s="2">
        <v>60</v>
      </c>
      <c r="H114" s="3" t="str">
        <f t="shared" si="7"/>
        <v>0x0060</v>
      </c>
      <c r="J114" t="s">
        <v>14</v>
      </c>
      <c r="K114" t="s">
        <v>236</v>
      </c>
    </row>
    <row r="115" spans="1:11" s="5" customFormat="1" hidden="1" x14ac:dyDescent="0.25">
      <c r="A115" s="1">
        <f t="shared" si="4"/>
        <v>22</v>
      </c>
      <c r="B115" s="5">
        <v>16</v>
      </c>
      <c r="C115" s="5" t="str">
        <f t="shared" si="6"/>
        <v>0x16</v>
      </c>
      <c r="D115" s="5" t="s">
        <v>507</v>
      </c>
      <c r="E115" s="5" t="s">
        <v>506</v>
      </c>
      <c r="F115" s="5" t="str">
        <f t="shared" si="5"/>
        <v>ADDT_M</v>
      </c>
      <c r="G115" s="6">
        <v>60</v>
      </c>
      <c r="H115" s="7" t="str">
        <f t="shared" si="7"/>
        <v>0x0060</v>
      </c>
      <c r="I115" s="7"/>
      <c r="J115" s="5" t="s">
        <v>320</v>
      </c>
      <c r="K115" s="5" t="s">
        <v>240</v>
      </c>
    </row>
    <row r="116" spans="1:11" hidden="1" x14ac:dyDescent="0.25">
      <c r="A116" s="1">
        <f t="shared" si="4"/>
        <v>22</v>
      </c>
      <c r="B116">
        <v>16</v>
      </c>
      <c r="C116" t="str">
        <f t="shared" si="6"/>
        <v>0x16</v>
      </c>
      <c r="D116" t="s">
        <v>502</v>
      </c>
      <c r="E116" t="s">
        <v>506</v>
      </c>
      <c r="F116" t="str">
        <f t="shared" si="5"/>
        <v>SUBT_M</v>
      </c>
      <c r="G116" s="2">
        <v>61</v>
      </c>
      <c r="H116" s="3" t="str">
        <f t="shared" si="7"/>
        <v>0x0061</v>
      </c>
      <c r="J116" t="s">
        <v>320</v>
      </c>
      <c r="K116" t="s">
        <v>240</v>
      </c>
    </row>
    <row r="117" spans="1:11" s="5" customFormat="1" hidden="1" x14ac:dyDescent="0.25">
      <c r="A117" s="1">
        <f t="shared" si="4"/>
        <v>18</v>
      </c>
      <c r="B117" s="5">
        <v>12</v>
      </c>
      <c r="C117" s="5" t="str">
        <f t="shared" si="6"/>
        <v>0x12</v>
      </c>
      <c r="D117" s="5" t="s">
        <v>294</v>
      </c>
      <c r="E117" s="5" t="s">
        <v>217</v>
      </c>
      <c r="F117" s="5" t="str">
        <f t="shared" si="5"/>
        <v>MSKLH</v>
      </c>
      <c r="G117" s="6">
        <v>62</v>
      </c>
      <c r="H117" s="7" t="str">
        <f t="shared" si="7"/>
        <v>0x0062</v>
      </c>
      <c r="I117" s="7"/>
      <c r="J117" s="5" t="s">
        <v>14</v>
      </c>
      <c r="K117" s="5" t="s">
        <v>236</v>
      </c>
    </row>
    <row r="118" spans="1:11" hidden="1" x14ac:dyDescent="0.25">
      <c r="A118" s="1">
        <f t="shared" si="4"/>
        <v>22</v>
      </c>
      <c r="B118">
        <v>16</v>
      </c>
      <c r="C118" t="str">
        <f t="shared" si="6"/>
        <v>0x16</v>
      </c>
      <c r="D118" t="s">
        <v>503</v>
      </c>
      <c r="E118" t="s">
        <v>506</v>
      </c>
      <c r="F118" t="str">
        <f t="shared" si="5"/>
        <v>MULT_M</v>
      </c>
      <c r="G118" s="2">
        <v>62</v>
      </c>
      <c r="H118" s="3" t="str">
        <f t="shared" si="7"/>
        <v>0x0062</v>
      </c>
      <c r="J118" t="s">
        <v>320</v>
      </c>
      <c r="K118" t="s">
        <v>240</v>
      </c>
    </row>
    <row r="119" spans="1:11" s="5" customFormat="1" hidden="1" x14ac:dyDescent="0.25">
      <c r="A119" s="1">
        <f t="shared" si="4"/>
        <v>22</v>
      </c>
      <c r="B119" s="5">
        <v>16</v>
      </c>
      <c r="C119" s="5" t="str">
        <f t="shared" si="6"/>
        <v>0x16</v>
      </c>
      <c r="D119" s="5" t="s">
        <v>504</v>
      </c>
      <c r="E119" s="5" t="s">
        <v>506</v>
      </c>
      <c r="F119" s="5" t="str">
        <f t="shared" si="5"/>
        <v>DIVT_M</v>
      </c>
      <c r="G119" s="6">
        <v>63</v>
      </c>
      <c r="H119" s="7" t="str">
        <f t="shared" si="7"/>
        <v>0x0063</v>
      </c>
      <c r="I119" s="7"/>
      <c r="J119" s="5" t="s">
        <v>320</v>
      </c>
      <c r="K119" s="5" t="s">
        <v>240</v>
      </c>
    </row>
    <row r="120" spans="1:11" s="5" customFormat="1" hidden="1" x14ac:dyDescent="0.25">
      <c r="A120" s="1">
        <f t="shared" si="4"/>
        <v>17</v>
      </c>
      <c r="B120" s="5">
        <v>11</v>
      </c>
      <c r="C120" s="5" t="str">
        <f t="shared" si="6"/>
        <v>0x11</v>
      </c>
      <c r="D120" s="5" t="s">
        <v>278</v>
      </c>
      <c r="E120" s="5" t="s">
        <v>217</v>
      </c>
      <c r="F120" s="5" t="str">
        <f t="shared" si="5"/>
        <v>CMOVLE</v>
      </c>
      <c r="G120" s="6">
        <v>64</v>
      </c>
      <c r="H120" s="7" t="str">
        <f t="shared" si="7"/>
        <v>0x0064</v>
      </c>
      <c r="I120" s="7"/>
      <c r="J120" s="5" t="s">
        <v>14</v>
      </c>
      <c r="K120" s="5" t="s">
        <v>236</v>
      </c>
    </row>
    <row r="121" spans="1:11" s="5" customFormat="1" hidden="1" x14ac:dyDescent="0.25">
      <c r="A121" s="1">
        <f t="shared" si="4"/>
        <v>17</v>
      </c>
      <c r="B121" s="5">
        <v>11</v>
      </c>
      <c r="C121" s="5" t="str">
        <f t="shared" si="6"/>
        <v>0x11</v>
      </c>
      <c r="D121" s="5" t="s">
        <v>279</v>
      </c>
      <c r="E121" s="5" t="s">
        <v>217</v>
      </c>
      <c r="F121" s="5" t="str">
        <f t="shared" si="5"/>
        <v>CMOVGT</v>
      </c>
      <c r="G121" s="6">
        <v>66</v>
      </c>
      <c r="H121" s="7" t="str">
        <f t="shared" si="7"/>
        <v>0x0066</v>
      </c>
      <c r="I121" s="7"/>
      <c r="J121" s="5" t="s">
        <v>14</v>
      </c>
      <c r="K121" s="5" t="s">
        <v>236</v>
      </c>
    </row>
    <row r="122" spans="1:11" s="5" customFormat="1" hidden="1" x14ac:dyDescent="0.25">
      <c r="A122" s="1">
        <f t="shared" si="4"/>
        <v>18</v>
      </c>
      <c r="B122" s="5">
        <v>12</v>
      </c>
      <c r="C122" s="5" t="str">
        <f t="shared" si="6"/>
        <v>0x12</v>
      </c>
      <c r="D122" s="5" t="s">
        <v>295</v>
      </c>
      <c r="E122" s="5" t="s">
        <v>217</v>
      </c>
      <c r="F122" s="5" t="str">
        <f t="shared" si="5"/>
        <v>INSLH</v>
      </c>
      <c r="G122" s="6">
        <v>67</v>
      </c>
      <c r="H122" s="7" t="str">
        <f t="shared" si="7"/>
        <v>0x0067</v>
      </c>
      <c r="I122" s="7"/>
      <c r="J122" s="5" t="s">
        <v>14</v>
      </c>
      <c r="K122" s="5" t="s">
        <v>236</v>
      </c>
    </row>
    <row r="123" spans="1:11" hidden="1" x14ac:dyDescent="0.25">
      <c r="A123" s="1">
        <f t="shared" si="4"/>
        <v>16</v>
      </c>
      <c r="B123">
        <v>10</v>
      </c>
      <c r="C123" t="str">
        <f t="shared" si="6"/>
        <v>0x10</v>
      </c>
      <c r="D123" t="s">
        <v>264</v>
      </c>
      <c r="E123" t="s">
        <v>263</v>
      </c>
      <c r="F123" t="str">
        <f t="shared" si="5"/>
        <v>SUBQ_V</v>
      </c>
      <c r="G123" s="2">
        <v>69</v>
      </c>
      <c r="H123" s="3" t="str">
        <f t="shared" si="7"/>
        <v>0x0069</v>
      </c>
      <c r="J123" t="s">
        <v>14</v>
      </c>
      <c r="K123" t="s">
        <v>240</v>
      </c>
    </row>
    <row r="124" spans="1:11" s="5" customFormat="1" hidden="1" x14ac:dyDescent="0.25">
      <c r="A124" s="1">
        <f t="shared" si="4"/>
        <v>18</v>
      </c>
      <c r="B124" s="5">
        <v>12</v>
      </c>
      <c r="C124" s="5" t="str">
        <f t="shared" si="6"/>
        <v>0x12</v>
      </c>
      <c r="D124" s="5" t="s">
        <v>296</v>
      </c>
      <c r="E124" s="5" t="s">
        <v>217</v>
      </c>
      <c r="F124" s="5" t="str">
        <f t="shared" si="5"/>
        <v>MSKQH</v>
      </c>
      <c r="G124" s="6">
        <v>72</v>
      </c>
      <c r="H124" s="7" t="str">
        <f t="shared" si="7"/>
        <v>0x0072</v>
      </c>
      <c r="I124" s="7"/>
      <c r="J124" s="5" t="s">
        <v>14</v>
      </c>
      <c r="K124" s="5" t="s">
        <v>236</v>
      </c>
    </row>
    <row r="125" spans="1:11" s="5" customFormat="1" hidden="1" x14ac:dyDescent="0.25">
      <c r="A125" s="1">
        <f t="shared" si="4"/>
        <v>18</v>
      </c>
      <c r="B125" s="5">
        <v>12</v>
      </c>
      <c r="C125" s="5" t="str">
        <f t="shared" si="6"/>
        <v>0x12</v>
      </c>
      <c r="D125" s="5" t="s">
        <v>297</v>
      </c>
      <c r="E125" s="5" t="s">
        <v>217</v>
      </c>
      <c r="F125" s="5" t="str">
        <f t="shared" si="5"/>
        <v>INSQH</v>
      </c>
      <c r="G125" s="6">
        <v>77</v>
      </c>
      <c r="H125" s="7" t="str">
        <f t="shared" si="7"/>
        <v>0x0077</v>
      </c>
      <c r="I125" s="7"/>
      <c r="J125" s="5" t="s">
        <v>14</v>
      </c>
      <c r="K125" s="5" t="s">
        <v>236</v>
      </c>
    </row>
    <row r="126" spans="1:11" hidden="1" x14ac:dyDescent="0.25">
      <c r="A126" s="1">
        <f t="shared" si="4"/>
        <v>0</v>
      </c>
      <c r="B126">
        <v>0</v>
      </c>
      <c r="C126" t="str">
        <f t="shared" si="6"/>
        <v>0x00</v>
      </c>
      <c r="D126" t="s">
        <v>67</v>
      </c>
      <c r="F126" t="str">
        <f t="shared" si="5"/>
        <v>BPT</v>
      </c>
      <c r="G126" s="2">
        <v>80</v>
      </c>
      <c r="H126" s="3" t="str">
        <f t="shared" si="7"/>
        <v>0x0080</v>
      </c>
      <c r="J126" t="s">
        <v>14</v>
      </c>
      <c r="K126" t="s">
        <v>11</v>
      </c>
    </row>
    <row r="127" spans="1:11" hidden="1" x14ac:dyDescent="0.25">
      <c r="A127" s="1">
        <f t="shared" si="4"/>
        <v>0</v>
      </c>
      <c r="B127">
        <v>0</v>
      </c>
      <c r="C127" t="str">
        <f t="shared" si="6"/>
        <v>0x00</v>
      </c>
      <c r="D127" t="s">
        <v>67</v>
      </c>
      <c r="F127" t="str">
        <f t="shared" si="5"/>
        <v>BPT</v>
      </c>
      <c r="G127" s="2">
        <v>80</v>
      </c>
      <c r="H127" s="3" t="str">
        <f t="shared" si="7"/>
        <v>0x0080</v>
      </c>
      <c r="J127" t="s">
        <v>8</v>
      </c>
      <c r="K127" t="s">
        <v>11</v>
      </c>
    </row>
    <row r="128" spans="1:11" hidden="1" x14ac:dyDescent="0.25">
      <c r="A128" s="1">
        <f t="shared" si="4"/>
        <v>21</v>
      </c>
      <c r="B128">
        <v>15</v>
      </c>
      <c r="C128" t="str">
        <f t="shared" si="6"/>
        <v>0x15</v>
      </c>
      <c r="D128" t="s">
        <v>373</v>
      </c>
      <c r="E128" t="s">
        <v>217</v>
      </c>
      <c r="F128" t="str">
        <f t="shared" si="5"/>
        <v>ADDF</v>
      </c>
      <c r="G128" s="2">
        <v>80</v>
      </c>
      <c r="H128" s="3" t="str">
        <f t="shared" si="7"/>
        <v>0x0080</v>
      </c>
      <c r="J128" t="s">
        <v>14</v>
      </c>
      <c r="K128" t="s">
        <v>240</v>
      </c>
    </row>
    <row r="129" spans="1:11" s="5" customFormat="1" hidden="1" x14ac:dyDescent="0.25">
      <c r="A129" s="1">
        <f t="shared" ref="A129:A192" si="8">HEX2DEC(B129)</f>
        <v>22</v>
      </c>
      <c r="B129" s="5">
        <v>16</v>
      </c>
      <c r="C129" s="5" t="str">
        <f t="shared" si="6"/>
        <v>0x16</v>
      </c>
      <c r="D129" s="5" t="s">
        <v>505</v>
      </c>
      <c r="F129" s="5" t="str">
        <f t="shared" ref="F129:F192" si="9">IF(TRIM(E129)="",TRIM(D129),TRIM(D129)&amp;"_"&amp;TRIM(E129))</f>
        <v>ADDS</v>
      </c>
      <c r="G129" s="6">
        <v>80</v>
      </c>
      <c r="H129" s="7" t="str">
        <f t="shared" si="7"/>
        <v>0x0080</v>
      </c>
      <c r="I129" s="7"/>
      <c r="J129" s="5" t="s">
        <v>320</v>
      </c>
      <c r="K129" s="5" t="s">
        <v>240</v>
      </c>
    </row>
    <row r="130" spans="1:11" hidden="1" x14ac:dyDescent="0.25">
      <c r="A130" s="1">
        <f t="shared" si="8"/>
        <v>0</v>
      </c>
      <c r="B130">
        <v>0</v>
      </c>
      <c r="C130" t="str">
        <f t="shared" ref="C130:C192" si="10">"0x"&amp;TEXT(DEC2HEX(A130),"00")</f>
        <v>0x00</v>
      </c>
      <c r="D130" t="s">
        <v>68</v>
      </c>
      <c r="F130" t="str">
        <f t="shared" si="9"/>
        <v>BUGCHK</v>
      </c>
      <c r="G130" s="2">
        <v>81</v>
      </c>
      <c r="H130" s="3" t="str">
        <f t="shared" ref="H130:H192" si="11">"0x"&amp;RIGHT("0000"&amp;UPPER(SUBSTITUTE(TRIM(G130),"0X","")),4)</f>
        <v>0x0081</v>
      </c>
      <c r="J130" t="s">
        <v>8</v>
      </c>
      <c r="K130" t="s">
        <v>11</v>
      </c>
    </row>
    <row r="131" spans="1:11" s="5" customFormat="1" x14ac:dyDescent="0.25">
      <c r="A131" s="1">
        <f t="shared" si="8"/>
        <v>21</v>
      </c>
      <c r="B131" s="5">
        <v>15</v>
      </c>
      <c r="C131" s="5" t="str">
        <f t="shared" si="10"/>
        <v>0x15</v>
      </c>
      <c r="D131" s="5" t="s">
        <v>374</v>
      </c>
      <c r="E131" s="5" t="s">
        <v>217</v>
      </c>
      <c r="F131" s="5" t="str">
        <f t="shared" si="9"/>
        <v>SUBF</v>
      </c>
      <c r="G131" s="6">
        <v>81</v>
      </c>
      <c r="H131" s="7" t="str">
        <f t="shared" si="11"/>
        <v>0x0081</v>
      </c>
      <c r="I131" s="7"/>
      <c r="J131" s="5" t="s">
        <v>14</v>
      </c>
      <c r="K131" s="5" t="s">
        <v>240</v>
      </c>
    </row>
    <row r="132" spans="1:11" hidden="1" x14ac:dyDescent="0.25">
      <c r="A132" s="1">
        <f t="shared" si="8"/>
        <v>22</v>
      </c>
      <c r="B132">
        <v>16</v>
      </c>
      <c r="C132" t="str">
        <f t="shared" si="10"/>
        <v>0x16</v>
      </c>
      <c r="D132" t="s">
        <v>499</v>
      </c>
      <c r="F132" t="str">
        <f t="shared" si="9"/>
        <v>SUBS</v>
      </c>
      <c r="G132" s="2">
        <v>81</v>
      </c>
      <c r="H132" s="3" t="str">
        <f t="shared" si="11"/>
        <v>0x0081</v>
      </c>
      <c r="J132" t="s">
        <v>320</v>
      </c>
      <c r="K132" t="s">
        <v>240</v>
      </c>
    </row>
    <row r="133" spans="1:11" s="5" customFormat="1" hidden="1" x14ac:dyDescent="0.25">
      <c r="A133" s="1">
        <f t="shared" si="8"/>
        <v>0</v>
      </c>
      <c r="B133" s="5">
        <v>0</v>
      </c>
      <c r="C133" s="5" t="str">
        <f t="shared" si="10"/>
        <v>0x00</v>
      </c>
      <c r="D133" s="5" t="s">
        <v>69</v>
      </c>
      <c r="F133" s="5" t="str">
        <f t="shared" si="9"/>
        <v>CHME</v>
      </c>
      <c r="G133" s="6">
        <v>82</v>
      </c>
      <c r="H133" s="7" t="str">
        <f t="shared" si="11"/>
        <v>0x0082</v>
      </c>
      <c r="I133" s="7"/>
      <c r="J133" s="5" t="s">
        <v>8</v>
      </c>
      <c r="K133" s="5" t="s">
        <v>11</v>
      </c>
    </row>
    <row r="134" spans="1:11" hidden="1" x14ac:dyDescent="0.25">
      <c r="A134" s="1">
        <f t="shared" si="8"/>
        <v>21</v>
      </c>
      <c r="B134">
        <v>15</v>
      </c>
      <c r="C134" t="str">
        <f t="shared" si="10"/>
        <v>0x15</v>
      </c>
      <c r="D134" t="s">
        <v>375</v>
      </c>
      <c r="E134" t="s">
        <v>217</v>
      </c>
      <c r="F134" t="str">
        <f t="shared" si="9"/>
        <v>MULF</v>
      </c>
      <c r="G134" s="2">
        <v>82</v>
      </c>
      <c r="H134" s="3" t="str">
        <f t="shared" si="11"/>
        <v>0x0082</v>
      </c>
      <c r="J134" t="s">
        <v>14</v>
      </c>
      <c r="K134" t="s">
        <v>240</v>
      </c>
    </row>
    <row r="135" spans="1:11" hidden="1" x14ac:dyDescent="0.25">
      <c r="A135" s="1">
        <f t="shared" si="8"/>
        <v>22</v>
      </c>
      <c r="B135">
        <v>16</v>
      </c>
      <c r="C135" t="str">
        <f t="shared" si="10"/>
        <v>0x16</v>
      </c>
      <c r="D135" t="s">
        <v>500</v>
      </c>
      <c r="F135" t="str">
        <f t="shared" si="9"/>
        <v>MULS</v>
      </c>
      <c r="G135" s="2">
        <v>82</v>
      </c>
      <c r="H135" s="3" t="str">
        <f t="shared" si="11"/>
        <v>0x0082</v>
      </c>
      <c r="J135" t="s">
        <v>320</v>
      </c>
      <c r="K135" t="s">
        <v>240</v>
      </c>
    </row>
    <row r="136" spans="1:11" s="5" customFormat="1" hidden="1" x14ac:dyDescent="0.25">
      <c r="A136" s="1">
        <f t="shared" si="8"/>
        <v>0</v>
      </c>
      <c r="B136" s="5">
        <v>0</v>
      </c>
      <c r="C136" s="5" t="str">
        <f t="shared" si="10"/>
        <v>0x00</v>
      </c>
      <c r="D136" s="5" t="s">
        <v>70</v>
      </c>
      <c r="F136" s="5" t="str">
        <f t="shared" si="9"/>
        <v>CHMK</v>
      </c>
      <c r="G136" s="6">
        <v>83</v>
      </c>
      <c r="H136" s="7" t="str">
        <f t="shared" si="11"/>
        <v>0x0083</v>
      </c>
      <c r="I136" s="7"/>
      <c r="J136" s="5" t="s">
        <v>14</v>
      </c>
      <c r="K136" s="5" t="s">
        <v>9</v>
      </c>
    </row>
    <row r="137" spans="1:11" hidden="1" x14ac:dyDescent="0.25">
      <c r="A137" s="1">
        <f t="shared" si="8"/>
        <v>0</v>
      </c>
      <c r="B137">
        <v>0</v>
      </c>
      <c r="C137" t="str">
        <f t="shared" si="10"/>
        <v>0x00</v>
      </c>
      <c r="D137" t="s">
        <v>71</v>
      </c>
      <c r="F137" t="str">
        <f t="shared" si="9"/>
        <v>CALLSYS</v>
      </c>
      <c r="G137" s="2">
        <v>83</v>
      </c>
      <c r="H137" s="3" t="str">
        <f t="shared" si="11"/>
        <v>0x0083</v>
      </c>
      <c r="J137" t="s">
        <v>16</v>
      </c>
      <c r="K137" t="s">
        <v>17</v>
      </c>
    </row>
    <row r="138" spans="1:11" s="5" customFormat="1" hidden="1" x14ac:dyDescent="0.25">
      <c r="A138" s="1">
        <f t="shared" si="8"/>
        <v>21</v>
      </c>
      <c r="B138" s="5">
        <v>15</v>
      </c>
      <c r="C138" s="5" t="str">
        <f t="shared" si="10"/>
        <v>0x15</v>
      </c>
      <c r="D138" s="5" t="s">
        <v>376</v>
      </c>
      <c r="E138" s="5" t="s">
        <v>217</v>
      </c>
      <c r="F138" s="5" t="str">
        <f t="shared" si="9"/>
        <v>DIVF</v>
      </c>
      <c r="G138" s="6">
        <v>83</v>
      </c>
      <c r="H138" s="7" t="str">
        <f t="shared" si="11"/>
        <v>0x0083</v>
      </c>
      <c r="I138" s="7"/>
      <c r="J138" s="5" t="s">
        <v>14</v>
      </c>
      <c r="K138" s="5" t="s">
        <v>240</v>
      </c>
    </row>
    <row r="139" spans="1:11" s="5" customFormat="1" hidden="1" x14ac:dyDescent="0.25">
      <c r="A139" s="1">
        <f t="shared" si="8"/>
        <v>22</v>
      </c>
      <c r="B139" s="5">
        <v>16</v>
      </c>
      <c r="C139" s="5" t="str">
        <f t="shared" si="10"/>
        <v>0x16</v>
      </c>
      <c r="D139" s="5" t="s">
        <v>501</v>
      </c>
      <c r="F139" s="5" t="str">
        <f t="shared" si="9"/>
        <v>DIVS</v>
      </c>
      <c r="G139" s="6">
        <v>83</v>
      </c>
      <c r="H139" s="7" t="str">
        <f t="shared" si="11"/>
        <v>0x0083</v>
      </c>
      <c r="I139" s="7"/>
      <c r="J139" s="5" t="s">
        <v>320</v>
      </c>
      <c r="K139" s="5" t="s">
        <v>240</v>
      </c>
    </row>
    <row r="140" spans="1:11" s="5" customFormat="1" hidden="1" x14ac:dyDescent="0.25">
      <c r="A140" s="1">
        <f t="shared" si="8"/>
        <v>0</v>
      </c>
      <c r="B140" s="5">
        <v>0</v>
      </c>
      <c r="C140" s="5" t="str">
        <f t="shared" si="10"/>
        <v>0x00</v>
      </c>
      <c r="D140" s="5" t="s">
        <v>72</v>
      </c>
      <c r="F140" s="5" t="str">
        <f t="shared" si="9"/>
        <v>CHMS</v>
      </c>
      <c r="G140" s="6">
        <v>84</v>
      </c>
      <c r="H140" s="7" t="str">
        <f t="shared" si="11"/>
        <v>0x0084</v>
      </c>
      <c r="I140" s="7"/>
      <c r="J140" s="5" t="s">
        <v>8</v>
      </c>
      <c r="K140" s="5" t="s">
        <v>11</v>
      </c>
    </row>
    <row r="141" spans="1:11" s="5" customFormat="1" hidden="1" x14ac:dyDescent="0.25">
      <c r="A141" s="1">
        <f t="shared" si="8"/>
        <v>0</v>
      </c>
      <c r="B141" s="5">
        <v>0</v>
      </c>
      <c r="C141" s="5" t="str">
        <f t="shared" si="10"/>
        <v>0x00</v>
      </c>
      <c r="D141" s="5" t="s">
        <v>73</v>
      </c>
      <c r="F141" s="5" t="str">
        <f t="shared" si="9"/>
        <v>CHMU</v>
      </c>
      <c r="G141" s="6">
        <v>85</v>
      </c>
      <c r="H141" s="7" t="str">
        <f t="shared" si="11"/>
        <v>0x0085</v>
      </c>
      <c r="I141" s="7"/>
      <c r="J141" s="5" t="s">
        <v>8</v>
      </c>
      <c r="K141" s="5" t="s">
        <v>11</v>
      </c>
    </row>
    <row r="142" spans="1:11" s="5" customFormat="1" hidden="1" x14ac:dyDescent="0.25">
      <c r="A142" s="1">
        <f t="shared" si="8"/>
        <v>0</v>
      </c>
      <c r="B142" s="5">
        <v>0</v>
      </c>
      <c r="C142" s="5" t="str">
        <f t="shared" si="10"/>
        <v>0x00</v>
      </c>
      <c r="D142" s="5" t="s">
        <v>74</v>
      </c>
      <c r="F142" s="5" t="str">
        <f t="shared" si="9"/>
        <v>IMB</v>
      </c>
      <c r="G142" s="6">
        <v>86</v>
      </c>
      <c r="H142" s="7" t="str">
        <f t="shared" si="11"/>
        <v>0x0086</v>
      </c>
      <c r="I142" s="7"/>
      <c r="J142" s="5" t="s">
        <v>8</v>
      </c>
      <c r="K142" s="5" t="s">
        <v>9</v>
      </c>
    </row>
    <row r="143" spans="1:11" s="5" customFormat="1" hidden="1" x14ac:dyDescent="0.25">
      <c r="A143" s="1">
        <f t="shared" si="8"/>
        <v>0</v>
      </c>
      <c r="B143" s="5">
        <v>0</v>
      </c>
      <c r="C143" s="5" t="str">
        <f t="shared" si="10"/>
        <v>0x00</v>
      </c>
      <c r="D143" s="5" t="s">
        <v>75</v>
      </c>
      <c r="F143" s="5" t="str">
        <f t="shared" si="9"/>
        <v>INSQHIL</v>
      </c>
      <c r="G143" s="6">
        <v>87</v>
      </c>
      <c r="H143" s="7" t="str">
        <f t="shared" si="11"/>
        <v>0x0087</v>
      </c>
      <c r="I143" s="7"/>
      <c r="J143" s="5" t="s">
        <v>8</v>
      </c>
      <c r="K143" s="5" t="s">
        <v>11</v>
      </c>
    </row>
    <row r="144" spans="1:11" s="5" customFormat="1" hidden="1" x14ac:dyDescent="0.25">
      <c r="A144" s="1">
        <f t="shared" si="8"/>
        <v>0</v>
      </c>
      <c r="B144" s="5">
        <v>0</v>
      </c>
      <c r="C144" s="5" t="str">
        <f t="shared" si="10"/>
        <v>0x00</v>
      </c>
      <c r="D144" s="5" t="s">
        <v>76</v>
      </c>
      <c r="F144" s="5" t="str">
        <f t="shared" si="9"/>
        <v>INSQTIL</v>
      </c>
      <c r="G144" s="6">
        <v>88</v>
      </c>
      <c r="H144" s="7" t="str">
        <f t="shared" si="11"/>
        <v>0x0088</v>
      </c>
      <c r="I144" s="7"/>
      <c r="J144" s="5" t="s">
        <v>8</v>
      </c>
      <c r="K144" s="5" t="s">
        <v>11</v>
      </c>
    </row>
    <row r="145" spans="1:11" s="5" customFormat="1" hidden="1" x14ac:dyDescent="0.25">
      <c r="A145" s="1">
        <f t="shared" si="8"/>
        <v>0</v>
      </c>
      <c r="B145" s="5">
        <v>0</v>
      </c>
      <c r="C145" s="5" t="str">
        <f t="shared" si="10"/>
        <v>0x00</v>
      </c>
      <c r="D145" s="5" t="s">
        <v>77</v>
      </c>
      <c r="F145" s="5" t="str">
        <f t="shared" si="9"/>
        <v>INSQHIQ</v>
      </c>
      <c r="G145" s="6">
        <v>89</v>
      </c>
      <c r="H145" s="7" t="str">
        <f t="shared" si="11"/>
        <v>0x0089</v>
      </c>
      <c r="I145" s="7"/>
      <c r="J145" s="5" t="s">
        <v>8</v>
      </c>
      <c r="K145" s="5" t="s">
        <v>11</v>
      </c>
    </row>
    <row r="146" spans="1:11" s="5" customFormat="1" hidden="1" x14ac:dyDescent="0.25">
      <c r="A146" s="1">
        <f t="shared" si="8"/>
        <v>0</v>
      </c>
      <c r="B146" s="5">
        <v>0</v>
      </c>
      <c r="C146" s="5" t="str">
        <f t="shared" si="10"/>
        <v>0x00</v>
      </c>
      <c r="D146" s="5" t="s">
        <v>78</v>
      </c>
      <c r="F146" s="5" t="str">
        <f t="shared" si="9"/>
        <v>PROBEW</v>
      </c>
      <c r="G146" s="6">
        <v>90</v>
      </c>
      <c r="H146" s="7" t="str">
        <f t="shared" si="11"/>
        <v>0x0090</v>
      </c>
      <c r="I146" s="7"/>
      <c r="J146" s="5" t="s">
        <v>8</v>
      </c>
      <c r="K146" s="5" t="s">
        <v>11</v>
      </c>
    </row>
    <row r="147" spans="1:11" s="5" customFormat="1" hidden="1" x14ac:dyDescent="0.25">
      <c r="A147" s="1">
        <f t="shared" si="8"/>
        <v>0</v>
      </c>
      <c r="B147" s="5">
        <v>0</v>
      </c>
      <c r="C147" s="5" t="str">
        <f t="shared" si="10"/>
        <v>0x00</v>
      </c>
      <c r="D147" s="5" t="s">
        <v>79</v>
      </c>
      <c r="F147" s="5" t="str">
        <f t="shared" si="9"/>
        <v>RD_PS</v>
      </c>
      <c r="G147" s="6">
        <v>91</v>
      </c>
      <c r="H147" s="7" t="str">
        <f t="shared" si="11"/>
        <v>0x0091</v>
      </c>
      <c r="I147" s="7"/>
      <c r="J147" s="5" t="s">
        <v>8</v>
      </c>
      <c r="K147" s="5" t="s">
        <v>11</v>
      </c>
    </row>
    <row r="148" spans="1:11" s="5" customFormat="1" hidden="1" x14ac:dyDescent="0.25">
      <c r="A148" s="1">
        <f t="shared" si="8"/>
        <v>0</v>
      </c>
      <c r="B148" s="5">
        <v>0</v>
      </c>
      <c r="C148" s="5" t="str">
        <f t="shared" si="10"/>
        <v>0x00</v>
      </c>
      <c r="D148" s="5" t="s">
        <v>80</v>
      </c>
      <c r="F148" s="5" t="str">
        <f t="shared" si="9"/>
        <v>REI</v>
      </c>
      <c r="G148" s="6">
        <v>92</v>
      </c>
      <c r="H148" s="7" t="str">
        <f t="shared" si="11"/>
        <v>0x0092</v>
      </c>
      <c r="I148" s="7"/>
      <c r="J148" s="5" t="s">
        <v>8</v>
      </c>
      <c r="K148" s="5" t="s">
        <v>11</v>
      </c>
    </row>
    <row r="149" spans="1:11" s="5" customFormat="1" hidden="1" x14ac:dyDescent="0.25">
      <c r="A149" s="1">
        <f t="shared" si="8"/>
        <v>0</v>
      </c>
      <c r="B149" s="5">
        <v>0</v>
      </c>
      <c r="C149" s="5" t="str">
        <f t="shared" si="10"/>
        <v>0x00</v>
      </c>
      <c r="D149" s="5" t="s">
        <v>81</v>
      </c>
      <c r="F149" s="5" t="str">
        <f t="shared" si="9"/>
        <v>REMQHIL</v>
      </c>
      <c r="G149" s="6">
        <v>93</v>
      </c>
      <c r="H149" s="7" t="str">
        <f t="shared" si="11"/>
        <v>0x0093</v>
      </c>
      <c r="I149" s="7"/>
      <c r="J149" s="5" t="s">
        <v>8</v>
      </c>
      <c r="K149" s="5" t="s">
        <v>11</v>
      </c>
    </row>
    <row r="150" spans="1:11" s="5" customFormat="1" hidden="1" x14ac:dyDescent="0.25">
      <c r="A150" s="1">
        <f t="shared" si="8"/>
        <v>0</v>
      </c>
      <c r="B150" s="5">
        <v>0</v>
      </c>
      <c r="C150" s="5" t="str">
        <f t="shared" si="10"/>
        <v>0x00</v>
      </c>
      <c r="D150" s="5" t="s">
        <v>82</v>
      </c>
      <c r="F150" s="5" t="str">
        <f t="shared" si="9"/>
        <v>REMQTIL</v>
      </c>
      <c r="G150" s="6">
        <v>94</v>
      </c>
      <c r="H150" s="7" t="str">
        <f t="shared" si="11"/>
        <v>0x0094</v>
      </c>
      <c r="I150" s="7"/>
      <c r="J150" s="5" t="s">
        <v>8</v>
      </c>
      <c r="K150" s="5" t="s">
        <v>11</v>
      </c>
    </row>
    <row r="151" spans="1:11" s="5" customFormat="1" hidden="1" x14ac:dyDescent="0.25">
      <c r="A151" s="1">
        <f t="shared" si="8"/>
        <v>0</v>
      </c>
      <c r="B151" s="5">
        <v>0</v>
      </c>
      <c r="C151" s="5" t="str">
        <f t="shared" si="10"/>
        <v>0x00</v>
      </c>
      <c r="D151" s="5" t="s">
        <v>83</v>
      </c>
      <c r="F151" s="5" t="str">
        <f t="shared" si="9"/>
        <v>REMQHIQ</v>
      </c>
      <c r="G151" s="6">
        <v>95</v>
      </c>
      <c r="H151" s="7" t="str">
        <f t="shared" si="11"/>
        <v>0x0095</v>
      </c>
      <c r="I151" s="7"/>
      <c r="J151" s="5" t="s">
        <v>8</v>
      </c>
      <c r="K151" s="5" t="s">
        <v>11</v>
      </c>
    </row>
    <row r="152" spans="1:11" s="5" customFormat="1" hidden="1" x14ac:dyDescent="0.25">
      <c r="A152" s="1">
        <f t="shared" si="8"/>
        <v>0</v>
      </c>
      <c r="B152" s="5">
        <v>0</v>
      </c>
      <c r="C152" s="5" t="str">
        <f t="shared" si="10"/>
        <v>0x00</v>
      </c>
      <c r="D152" s="5" t="s">
        <v>84</v>
      </c>
      <c r="F152" s="5" t="str">
        <f t="shared" si="9"/>
        <v>REMQTIQ</v>
      </c>
      <c r="G152" s="6">
        <v>96</v>
      </c>
      <c r="H152" s="7" t="str">
        <f t="shared" si="11"/>
        <v>0x0096</v>
      </c>
      <c r="I152" s="7"/>
      <c r="J152" s="5" t="s">
        <v>8</v>
      </c>
      <c r="K152" s="5" t="s">
        <v>11</v>
      </c>
    </row>
    <row r="153" spans="1:11" s="5" customFormat="1" hidden="1" x14ac:dyDescent="0.25">
      <c r="A153" s="1">
        <f t="shared" si="8"/>
        <v>0</v>
      </c>
      <c r="B153" s="5">
        <v>0</v>
      </c>
      <c r="C153" s="5" t="str">
        <f t="shared" si="10"/>
        <v>0x00</v>
      </c>
      <c r="D153" s="5" t="s">
        <v>85</v>
      </c>
      <c r="F153" s="5" t="str">
        <f t="shared" si="9"/>
        <v>REMQUEL</v>
      </c>
      <c r="G153" s="6">
        <v>97</v>
      </c>
      <c r="H153" s="7" t="str">
        <f t="shared" si="11"/>
        <v>0x0097</v>
      </c>
      <c r="I153" s="7"/>
      <c r="J153" s="5" t="s">
        <v>8</v>
      </c>
      <c r="K153" s="5" t="s">
        <v>11</v>
      </c>
    </row>
    <row r="154" spans="1:11" s="5" customFormat="1" hidden="1" x14ac:dyDescent="0.25">
      <c r="A154" s="1">
        <f t="shared" si="8"/>
        <v>0</v>
      </c>
      <c r="B154" s="5">
        <v>0</v>
      </c>
      <c r="C154" s="5" t="str">
        <f t="shared" si="10"/>
        <v>0x00</v>
      </c>
      <c r="D154" s="5" t="s">
        <v>86</v>
      </c>
      <c r="F154" s="5" t="str">
        <f t="shared" si="9"/>
        <v>REMQUEQ</v>
      </c>
      <c r="G154" s="6">
        <v>98</v>
      </c>
      <c r="H154" s="7" t="str">
        <f t="shared" si="11"/>
        <v>0x0098</v>
      </c>
      <c r="I154" s="7"/>
      <c r="J154" s="5" t="s">
        <v>8</v>
      </c>
      <c r="K154" s="5" t="s">
        <v>11</v>
      </c>
    </row>
    <row r="155" spans="1:11" s="5" customFormat="1" hidden="1" x14ac:dyDescent="0.25">
      <c r="A155" s="1">
        <f t="shared" si="8"/>
        <v>0</v>
      </c>
      <c r="B155" s="5">
        <v>0</v>
      </c>
      <c r="C155" s="5" t="str">
        <f t="shared" si="10"/>
        <v>0x00</v>
      </c>
      <c r="D155" s="5" t="s">
        <v>87</v>
      </c>
      <c r="F155" s="5" t="str">
        <f t="shared" si="9"/>
        <v>REMQUEUD</v>
      </c>
      <c r="G155" s="6">
        <v>99</v>
      </c>
      <c r="H155" s="7" t="str">
        <f t="shared" si="11"/>
        <v>0x0099</v>
      </c>
      <c r="I155" s="7"/>
      <c r="J155" s="5" t="s">
        <v>8</v>
      </c>
      <c r="K155" s="5" t="s">
        <v>11</v>
      </c>
    </row>
    <row r="156" spans="1:11" s="5" customFormat="1" hidden="1" x14ac:dyDescent="0.25">
      <c r="A156" s="1">
        <f t="shared" si="8"/>
        <v>22</v>
      </c>
      <c r="B156" s="5">
        <v>16</v>
      </c>
      <c r="C156" s="5" t="str">
        <f t="shared" si="10"/>
        <v>0x16</v>
      </c>
      <c r="D156" s="5" t="s">
        <v>505</v>
      </c>
      <c r="E156" s="5" t="s">
        <v>319</v>
      </c>
      <c r="F156" s="5" t="str">
        <f t="shared" si="9"/>
        <v>ADDS_UC</v>
      </c>
      <c r="G156" s="6">
        <v>100</v>
      </c>
      <c r="H156" s="7" t="str">
        <f t="shared" si="11"/>
        <v>0x0100</v>
      </c>
      <c r="I156" s="7"/>
      <c r="J156" s="5" t="s">
        <v>320</v>
      </c>
      <c r="K156" s="5" t="s">
        <v>240</v>
      </c>
    </row>
    <row r="157" spans="1:11" hidden="1" x14ac:dyDescent="0.25">
      <c r="A157" s="1">
        <f t="shared" si="8"/>
        <v>22</v>
      </c>
      <c r="B157">
        <v>16</v>
      </c>
      <c r="C157" t="str">
        <f t="shared" si="10"/>
        <v>0x16</v>
      </c>
      <c r="D157" t="s">
        <v>499</v>
      </c>
      <c r="E157" t="s">
        <v>319</v>
      </c>
      <c r="F157" t="str">
        <f t="shared" si="9"/>
        <v>SUBS_UC</v>
      </c>
      <c r="G157" s="2">
        <v>101</v>
      </c>
      <c r="H157" s="3" t="str">
        <f t="shared" si="11"/>
        <v>0x0101</v>
      </c>
      <c r="J157" t="s">
        <v>320</v>
      </c>
      <c r="K157" t="s">
        <v>240</v>
      </c>
    </row>
    <row r="158" spans="1:11" hidden="1" x14ac:dyDescent="0.25">
      <c r="A158" s="1">
        <f t="shared" si="8"/>
        <v>22</v>
      </c>
      <c r="B158">
        <v>16</v>
      </c>
      <c r="C158" t="str">
        <f t="shared" si="10"/>
        <v>0x16</v>
      </c>
      <c r="D158" t="s">
        <v>500</v>
      </c>
      <c r="E158" t="s">
        <v>319</v>
      </c>
      <c r="F158" t="str">
        <f t="shared" si="9"/>
        <v>MULS_UC</v>
      </c>
      <c r="G158" s="2">
        <v>102</v>
      </c>
      <c r="H158" s="3" t="str">
        <f t="shared" si="11"/>
        <v>0x0102</v>
      </c>
      <c r="J158" t="s">
        <v>320</v>
      </c>
      <c r="K158" t="s">
        <v>240</v>
      </c>
    </row>
    <row r="159" spans="1:11" s="5" customFormat="1" hidden="1" x14ac:dyDescent="0.25">
      <c r="A159" s="1">
        <f t="shared" si="8"/>
        <v>22</v>
      </c>
      <c r="B159" s="5">
        <v>16</v>
      </c>
      <c r="C159" s="5" t="str">
        <f t="shared" si="10"/>
        <v>0x16</v>
      </c>
      <c r="D159" s="5" t="s">
        <v>501</v>
      </c>
      <c r="E159" s="5" t="s">
        <v>319</v>
      </c>
      <c r="F159" s="5" t="str">
        <f t="shared" si="9"/>
        <v>DIVS_UC</v>
      </c>
      <c r="G159" s="6">
        <v>103</v>
      </c>
      <c r="H159" s="7" t="str">
        <f t="shared" si="11"/>
        <v>0x0103</v>
      </c>
      <c r="I159" s="7"/>
      <c r="J159" s="5" t="s">
        <v>320</v>
      </c>
      <c r="K159" s="5" t="s">
        <v>240</v>
      </c>
    </row>
    <row r="160" spans="1:11" s="5" customFormat="1" hidden="1" x14ac:dyDescent="0.25">
      <c r="A160" s="1">
        <f t="shared" si="8"/>
        <v>22</v>
      </c>
      <c r="B160" s="5">
        <v>16</v>
      </c>
      <c r="C160" s="5" t="str">
        <f t="shared" si="10"/>
        <v>0x16</v>
      </c>
      <c r="D160" s="5" t="s">
        <v>507</v>
      </c>
      <c r="E160" s="5" t="s">
        <v>319</v>
      </c>
      <c r="F160" s="5" t="str">
        <f t="shared" si="9"/>
        <v>ADDT_UC</v>
      </c>
      <c r="G160" s="6">
        <v>120</v>
      </c>
      <c r="H160" s="7" t="str">
        <f t="shared" si="11"/>
        <v>0x0120</v>
      </c>
      <c r="I160" s="7"/>
      <c r="J160" s="5" t="s">
        <v>320</v>
      </c>
      <c r="K160" s="5" t="s">
        <v>240</v>
      </c>
    </row>
    <row r="161" spans="1:11" hidden="1" x14ac:dyDescent="0.25">
      <c r="A161" s="1">
        <f t="shared" si="8"/>
        <v>22</v>
      </c>
      <c r="B161">
        <v>16</v>
      </c>
      <c r="C161" t="str">
        <f t="shared" si="10"/>
        <v>0x16</v>
      </c>
      <c r="D161" t="s">
        <v>502</v>
      </c>
      <c r="E161" t="s">
        <v>319</v>
      </c>
      <c r="F161" t="str">
        <f t="shared" si="9"/>
        <v>SUBT_UC</v>
      </c>
      <c r="G161" s="2">
        <v>121</v>
      </c>
      <c r="H161" s="3" t="str">
        <f t="shared" si="11"/>
        <v>0x0121</v>
      </c>
      <c r="J161" t="s">
        <v>320</v>
      </c>
      <c r="K161" t="s">
        <v>240</v>
      </c>
    </row>
    <row r="162" spans="1:11" hidden="1" x14ac:dyDescent="0.25">
      <c r="A162" s="1">
        <f t="shared" si="8"/>
        <v>22</v>
      </c>
      <c r="B162">
        <v>16</v>
      </c>
      <c r="C162" t="str">
        <f t="shared" si="10"/>
        <v>0x16</v>
      </c>
      <c r="D162" t="s">
        <v>503</v>
      </c>
      <c r="E162" t="s">
        <v>319</v>
      </c>
      <c r="F162" t="str">
        <f t="shared" si="9"/>
        <v>MULT_UC</v>
      </c>
      <c r="G162" s="2">
        <v>122</v>
      </c>
      <c r="H162" s="3" t="str">
        <f t="shared" si="11"/>
        <v>0x0122</v>
      </c>
      <c r="J162" t="s">
        <v>320</v>
      </c>
      <c r="K162" t="s">
        <v>240</v>
      </c>
    </row>
    <row r="163" spans="1:11" s="5" customFormat="1" hidden="1" x14ac:dyDescent="0.25">
      <c r="A163" s="1">
        <f t="shared" si="8"/>
        <v>22</v>
      </c>
      <c r="B163" s="5">
        <v>16</v>
      </c>
      <c r="C163" s="5" t="str">
        <f t="shared" si="10"/>
        <v>0x16</v>
      </c>
      <c r="D163" s="5" t="s">
        <v>504</v>
      </c>
      <c r="E163" s="5" t="s">
        <v>319</v>
      </c>
      <c r="F163" s="5" t="str">
        <f t="shared" si="9"/>
        <v>DIVT_UC</v>
      </c>
      <c r="G163" s="6">
        <v>123</v>
      </c>
      <c r="H163" s="7" t="str">
        <f t="shared" si="11"/>
        <v>0x0123</v>
      </c>
      <c r="I163" s="7"/>
      <c r="J163" s="5" t="s">
        <v>320</v>
      </c>
      <c r="K163" s="5" t="s">
        <v>240</v>
      </c>
    </row>
    <row r="164" spans="1:11" s="5" customFormat="1" hidden="1" x14ac:dyDescent="0.25">
      <c r="A164" s="1">
        <f t="shared" si="8"/>
        <v>22</v>
      </c>
      <c r="B164" s="5">
        <v>16</v>
      </c>
      <c r="C164" s="5" t="str">
        <f t="shared" si="10"/>
        <v>0x16</v>
      </c>
      <c r="D164" s="5" t="s">
        <v>505</v>
      </c>
      <c r="E164" s="5" t="s">
        <v>328</v>
      </c>
      <c r="F164" s="5" t="str">
        <f t="shared" si="9"/>
        <v>ADDS_UM</v>
      </c>
      <c r="G164" s="6">
        <v>140</v>
      </c>
      <c r="H164" s="7" t="str">
        <f t="shared" si="11"/>
        <v>0x0140</v>
      </c>
      <c r="I164" s="7"/>
      <c r="J164" s="5" t="s">
        <v>320</v>
      </c>
      <c r="K164" s="5" t="s">
        <v>240</v>
      </c>
    </row>
    <row r="165" spans="1:11" hidden="1" x14ac:dyDescent="0.25">
      <c r="A165" s="1">
        <f t="shared" si="8"/>
        <v>22</v>
      </c>
      <c r="B165">
        <v>16</v>
      </c>
      <c r="C165" t="str">
        <f t="shared" si="10"/>
        <v>0x16</v>
      </c>
      <c r="D165" t="s">
        <v>499</v>
      </c>
      <c r="E165" t="s">
        <v>328</v>
      </c>
      <c r="F165" t="str">
        <f t="shared" si="9"/>
        <v>SUBS_UM</v>
      </c>
      <c r="G165" s="2">
        <v>141</v>
      </c>
      <c r="H165" s="3" t="str">
        <f t="shared" si="11"/>
        <v>0x0141</v>
      </c>
      <c r="J165" t="s">
        <v>320</v>
      </c>
      <c r="K165" t="s">
        <v>240</v>
      </c>
    </row>
    <row r="166" spans="1:11" hidden="1" x14ac:dyDescent="0.25">
      <c r="A166" s="1">
        <f t="shared" si="8"/>
        <v>22</v>
      </c>
      <c r="B166">
        <v>16</v>
      </c>
      <c r="C166" t="str">
        <f t="shared" si="10"/>
        <v>0x16</v>
      </c>
      <c r="D166" t="s">
        <v>500</v>
      </c>
      <c r="E166" t="s">
        <v>328</v>
      </c>
      <c r="F166" t="str">
        <f t="shared" si="9"/>
        <v>MULS_UM</v>
      </c>
      <c r="G166" s="2">
        <v>142</v>
      </c>
      <c r="H166" s="3" t="str">
        <f t="shared" si="11"/>
        <v>0x0142</v>
      </c>
      <c r="J166" t="s">
        <v>320</v>
      </c>
      <c r="K166" t="s">
        <v>240</v>
      </c>
    </row>
    <row r="167" spans="1:11" s="5" customFormat="1" hidden="1" x14ac:dyDescent="0.25">
      <c r="A167" s="1">
        <f t="shared" si="8"/>
        <v>22</v>
      </c>
      <c r="B167" s="5">
        <v>16</v>
      </c>
      <c r="C167" s="5" t="str">
        <f t="shared" si="10"/>
        <v>0x16</v>
      </c>
      <c r="D167" s="5" t="s">
        <v>501</v>
      </c>
      <c r="E167" s="5" t="s">
        <v>328</v>
      </c>
      <c r="F167" s="5" t="str">
        <f t="shared" si="9"/>
        <v>DIVS_UM</v>
      </c>
      <c r="G167" s="6">
        <v>143</v>
      </c>
      <c r="H167" s="7" t="str">
        <f t="shared" si="11"/>
        <v>0x0143</v>
      </c>
      <c r="I167" s="7"/>
      <c r="J167" s="5" t="s">
        <v>320</v>
      </c>
      <c r="K167" s="5" t="s">
        <v>240</v>
      </c>
    </row>
    <row r="168" spans="1:11" s="5" customFormat="1" hidden="1" x14ac:dyDescent="0.25">
      <c r="A168" s="1">
        <f t="shared" si="8"/>
        <v>22</v>
      </c>
      <c r="B168" s="5">
        <v>16</v>
      </c>
      <c r="C168" s="5" t="str">
        <f t="shared" si="10"/>
        <v>0x16</v>
      </c>
      <c r="D168" s="5" t="s">
        <v>507</v>
      </c>
      <c r="E168" s="5" t="s">
        <v>328</v>
      </c>
      <c r="F168" s="5" t="str">
        <f t="shared" si="9"/>
        <v>ADDT_UM</v>
      </c>
      <c r="G168" s="6">
        <v>160</v>
      </c>
      <c r="H168" s="7" t="str">
        <f t="shared" si="11"/>
        <v>0x0160</v>
      </c>
      <c r="I168" s="7"/>
      <c r="J168" s="5" t="s">
        <v>320</v>
      </c>
      <c r="K168" s="5" t="s">
        <v>240</v>
      </c>
    </row>
    <row r="169" spans="1:11" hidden="1" x14ac:dyDescent="0.25">
      <c r="A169" s="1">
        <f t="shared" si="8"/>
        <v>22</v>
      </c>
      <c r="B169">
        <v>16</v>
      </c>
      <c r="C169" t="str">
        <f t="shared" si="10"/>
        <v>0x16</v>
      </c>
      <c r="D169" t="s">
        <v>502</v>
      </c>
      <c r="E169" t="s">
        <v>328</v>
      </c>
      <c r="F169" t="str">
        <f t="shared" si="9"/>
        <v>SUBT_UM</v>
      </c>
      <c r="G169" s="2">
        <v>161</v>
      </c>
      <c r="H169" s="3" t="str">
        <f t="shared" si="11"/>
        <v>0x0161</v>
      </c>
      <c r="J169" t="s">
        <v>320</v>
      </c>
      <c r="K169" t="s">
        <v>240</v>
      </c>
    </row>
    <row r="170" spans="1:11" hidden="1" x14ac:dyDescent="0.25">
      <c r="A170" s="1">
        <f t="shared" si="8"/>
        <v>22</v>
      </c>
      <c r="B170">
        <v>16</v>
      </c>
      <c r="C170" t="str">
        <f t="shared" si="10"/>
        <v>0x16</v>
      </c>
      <c r="D170" t="s">
        <v>503</v>
      </c>
      <c r="E170" t="s">
        <v>328</v>
      </c>
      <c r="F170" t="str">
        <f t="shared" si="9"/>
        <v>MULT_UM</v>
      </c>
      <c r="G170" s="2">
        <v>162</v>
      </c>
      <c r="H170" s="3" t="str">
        <f t="shared" si="11"/>
        <v>0x0162</v>
      </c>
      <c r="J170" t="s">
        <v>320</v>
      </c>
      <c r="K170" t="s">
        <v>240</v>
      </c>
    </row>
    <row r="171" spans="1:11" s="5" customFormat="1" hidden="1" x14ac:dyDescent="0.25">
      <c r="A171" s="1">
        <f t="shared" si="8"/>
        <v>22</v>
      </c>
      <c r="B171" s="5">
        <v>16</v>
      </c>
      <c r="C171" s="5" t="str">
        <f t="shared" si="10"/>
        <v>0x16</v>
      </c>
      <c r="D171" s="5" t="s">
        <v>504</v>
      </c>
      <c r="E171" s="5" t="s">
        <v>328</v>
      </c>
      <c r="F171" s="5" t="str">
        <f t="shared" si="9"/>
        <v>DIVT_UM</v>
      </c>
      <c r="G171" s="6">
        <v>163</v>
      </c>
      <c r="H171" s="7" t="str">
        <f t="shared" si="11"/>
        <v>0x0163</v>
      </c>
      <c r="I171" s="7"/>
      <c r="J171" s="5" t="s">
        <v>320</v>
      </c>
      <c r="K171" s="5" t="s">
        <v>240</v>
      </c>
    </row>
    <row r="172" spans="1:11" s="5" customFormat="1" hidden="1" x14ac:dyDescent="0.25">
      <c r="A172" s="1">
        <f t="shared" si="8"/>
        <v>22</v>
      </c>
      <c r="B172" s="5">
        <v>16</v>
      </c>
      <c r="C172" s="5" t="str">
        <f t="shared" si="10"/>
        <v>0x16</v>
      </c>
      <c r="D172" s="5" t="s">
        <v>505</v>
      </c>
      <c r="E172" s="5" t="s">
        <v>331</v>
      </c>
      <c r="F172" s="5" t="str">
        <f t="shared" si="9"/>
        <v>ADDS_U</v>
      </c>
      <c r="G172" s="6">
        <v>180</v>
      </c>
      <c r="H172" s="7" t="str">
        <f t="shared" si="11"/>
        <v>0x0180</v>
      </c>
      <c r="I172" s="7"/>
      <c r="J172" s="5" t="s">
        <v>320</v>
      </c>
      <c r="K172" s="5" t="s">
        <v>240</v>
      </c>
    </row>
    <row r="173" spans="1:11" hidden="1" x14ac:dyDescent="0.25">
      <c r="A173" s="1">
        <f t="shared" si="8"/>
        <v>22</v>
      </c>
      <c r="B173">
        <v>16</v>
      </c>
      <c r="C173" t="str">
        <f t="shared" si="10"/>
        <v>0x16</v>
      </c>
      <c r="D173" t="s">
        <v>499</v>
      </c>
      <c r="E173" t="s">
        <v>331</v>
      </c>
      <c r="F173" t="str">
        <f t="shared" si="9"/>
        <v>SUBS_U</v>
      </c>
      <c r="G173" s="2">
        <v>181</v>
      </c>
      <c r="H173" s="3" t="str">
        <f t="shared" si="11"/>
        <v>0x0181</v>
      </c>
      <c r="J173" t="s">
        <v>320</v>
      </c>
      <c r="K173" t="s">
        <v>240</v>
      </c>
    </row>
    <row r="174" spans="1:11" hidden="1" x14ac:dyDescent="0.25">
      <c r="A174" s="1">
        <f t="shared" si="8"/>
        <v>22</v>
      </c>
      <c r="B174">
        <v>16</v>
      </c>
      <c r="C174" t="str">
        <f t="shared" si="10"/>
        <v>0x16</v>
      </c>
      <c r="D174" t="s">
        <v>500</v>
      </c>
      <c r="E174" t="s">
        <v>331</v>
      </c>
      <c r="F174" t="str">
        <f t="shared" si="9"/>
        <v>MULS_U</v>
      </c>
      <c r="G174" s="2">
        <v>182</v>
      </c>
      <c r="H174" s="3" t="str">
        <f t="shared" si="11"/>
        <v>0x0182</v>
      </c>
      <c r="J174" t="s">
        <v>320</v>
      </c>
      <c r="K174" t="s">
        <v>240</v>
      </c>
    </row>
    <row r="175" spans="1:11" s="5" customFormat="1" hidden="1" x14ac:dyDescent="0.25">
      <c r="A175" s="1">
        <f t="shared" si="8"/>
        <v>22</v>
      </c>
      <c r="B175" s="5">
        <v>16</v>
      </c>
      <c r="C175" s="5" t="str">
        <f t="shared" si="10"/>
        <v>0x16</v>
      </c>
      <c r="D175" s="5" t="s">
        <v>501</v>
      </c>
      <c r="E175" s="5" t="s">
        <v>331</v>
      </c>
      <c r="F175" s="5" t="str">
        <f t="shared" si="9"/>
        <v>DIVS_U</v>
      </c>
      <c r="G175" s="6">
        <v>183</v>
      </c>
      <c r="H175" s="7" t="str">
        <f t="shared" si="11"/>
        <v>0x0183</v>
      </c>
      <c r="I175" s="7"/>
      <c r="J175" s="5" t="s">
        <v>320</v>
      </c>
      <c r="K175" s="5" t="s">
        <v>240</v>
      </c>
    </row>
    <row r="176" spans="1:11" s="5" customFormat="1" hidden="1" x14ac:dyDescent="0.25">
      <c r="A176" s="1">
        <f t="shared" si="8"/>
        <v>22</v>
      </c>
      <c r="B176" s="5">
        <v>16</v>
      </c>
      <c r="C176" s="5" t="str">
        <f t="shared" si="10"/>
        <v>0x16</v>
      </c>
      <c r="D176" s="5" t="s">
        <v>505</v>
      </c>
      <c r="E176" s="5" t="s">
        <v>345</v>
      </c>
      <c r="F176" s="5" t="str">
        <f t="shared" si="9"/>
        <v>ADDS_SUC</v>
      </c>
      <c r="G176" s="6">
        <v>500</v>
      </c>
      <c r="H176" s="7" t="str">
        <f t="shared" si="11"/>
        <v>0x0500</v>
      </c>
      <c r="I176" s="7"/>
      <c r="J176" s="5" t="s">
        <v>320</v>
      </c>
      <c r="K176" s="5" t="s">
        <v>240</v>
      </c>
    </row>
    <row r="177" spans="1:11" hidden="1" x14ac:dyDescent="0.25">
      <c r="A177" s="1">
        <f t="shared" si="8"/>
        <v>22</v>
      </c>
      <c r="B177">
        <v>16</v>
      </c>
      <c r="C177" t="str">
        <f t="shared" si="10"/>
        <v>0x16</v>
      </c>
      <c r="D177" t="s">
        <v>499</v>
      </c>
      <c r="E177" t="s">
        <v>345</v>
      </c>
      <c r="F177" t="str">
        <f t="shared" si="9"/>
        <v>SUBS_SUC</v>
      </c>
      <c r="G177" s="2">
        <v>501</v>
      </c>
      <c r="H177" s="3" t="str">
        <f t="shared" si="11"/>
        <v>0x0501</v>
      </c>
      <c r="J177" t="s">
        <v>320</v>
      </c>
      <c r="K177" t="s">
        <v>240</v>
      </c>
    </row>
    <row r="178" spans="1:11" hidden="1" x14ac:dyDescent="0.25">
      <c r="A178" s="1">
        <f t="shared" si="8"/>
        <v>22</v>
      </c>
      <c r="B178">
        <v>16</v>
      </c>
      <c r="C178" t="str">
        <f t="shared" si="10"/>
        <v>0x16</v>
      </c>
      <c r="D178" t="s">
        <v>500</v>
      </c>
      <c r="E178" t="s">
        <v>345</v>
      </c>
      <c r="F178" t="str">
        <f t="shared" si="9"/>
        <v>MULS_SUC</v>
      </c>
      <c r="G178" s="2">
        <v>502</v>
      </c>
      <c r="H178" s="3" t="str">
        <f t="shared" si="11"/>
        <v>0x0502</v>
      </c>
      <c r="J178" t="s">
        <v>320</v>
      </c>
      <c r="K178" t="s">
        <v>240</v>
      </c>
    </row>
    <row r="179" spans="1:11" s="5" customFormat="1" hidden="1" x14ac:dyDescent="0.25">
      <c r="A179" s="1">
        <f t="shared" si="8"/>
        <v>22</v>
      </c>
      <c r="B179" s="5">
        <v>16</v>
      </c>
      <c r="C179" s="5" t="str">
        <f t="shared" si="10"/>
        <v>0x16</v>
      </c>
      <c r="D179" s="5" t="s">
        <v>501</v>
      </c>
      <c r="E179" s="5" t="s">
        <v>345</v>
      </c>
      <c r="F179" s="5" t="str">
        <f t="shared" si="9"/>
        <v>DIVS_SUC</v>
      </c>
      <c r="G179" s="6">
        <v>503</v>
      </c>
      <c r="H179" s="7" t="str">
        <f t="shared" si="11"/>
        <v>0x0503</v>
      </c>
      <c r="I179" s="7"/>
      <c r="J179" s="5" t="s">
        <v>320</v>
      </c>
      <c r="K179" s="5" t="s">
        <v>240</v>
      </c>
    </row>
    <row r="180" spans="1:11" s="5" customFormat="1" hidden="1" x14ac:dyDescent="0.25">
      <c r="A180" s="1">
        <f t="shared" si="8"/>
        <v>22</v>
      </c>
      <c r="B180" s="5">
        <v>16</v>
      </c>
      <c r="C180" s="5" t="str">
        <f t="shared" si="10"/>
        <v>0x16</v>
      </c>
      <c r="D180" s="5" t="s">
        <v>507</v>
      </c>
      <c r="E180" s="5" t="s">
        <v>345</v>
      </c>
      <c r="F180" s="5" t="str">
        <f t="shared" si="9"/>
        <v>ADDT_SUC</v>
      </c>
      <c r="G180" s="6">
        <v>520</v>
      </c>
      <c r="H180" s="7" t="str">
        <f t="shared" si="11"/>
        <v>0x0520</v>
      </c>
      <c r="I180" s="7"/>
      <c r="J180" s="5" t="s">
        <v>320</v>
      </c>
      <c r="K180" s="5" t="s">
        <v>240</v>
      </c>
    </row>
    <row r="181" spans="1:11" hidden="1" x14ac:dyDescent="0.25">
      <c r="A181" s="1">
        <f t="shared" si="8"/>
        <v>22</v>
      </c>
      <c r="B181">
        <v>16</v>
      </c>
      <c r="C181" t="str">
        <f t="shared" si="10"/>
        <v>0x16</v>
      </c>
      <c r="D181" t="s">
        <v>502</v>
      </c>
      <c r="E181" t="s">
        <v>345</v>
      </c>
      <c r="F181" t="str">
        <f t="shared" si="9"/>
        <v>SUBT_SUC</v>
      </c>
      <c r="G181" s="2">
        <v>521</v>
      </c>
      <c r="H181" s="3" t="str">
        <f t="shared" si="11"/>
        <v>0x0521</v>
      </c>
      <c r="J181" t="s">
        <v>320</v>
      </c>
      <c r="K181" t="s">
        <v>240</v>
      </c>
    </row>
    <row r="182" spans="1:11" hidden="1" x14ac:dyDescent="0.25">
      <c r="A182" s="1">
        <f t="shared" si="8"/>
        <v>22</v>
      </c>
      <c r="B182">
        <v>16</v>
      </c>
      <c r="C182" t="str">
        <f t="shared" si="10"/>
        <v>0x16</v>
      </c>
      <c r="D182" t="s">
        <v>503</v>
      </c>
      <c r="E182" t="s">
        <v>345</v>
      </c>
      <c r="F182" t="str">
        <f t="shared" si="9"/>
        <v>MULT_SUC</v>
      </c>
      <c r="G182" s="2">
        <v>522</v>
      </c>
      <c r="H182" s="3" t="str">
        <f t="shared" si="11"/>
        <v>0x0522</v>
      </c>
      <c r="J182" t="s">
        <v>320</v>
      </c>
      <c r="K182" t="s">
        <v>240</v>
      </c>
    </row>
    <row r="183" spans="1:11" s="5" customFormat="1" hidden="1" x14ac:dyDescent="0.25">
      <c r="A183" s="1">
        <f t="shared" si="8"/>
        <v>22</v>
      </c>
      <c r="B183" s="5">
        <v>16</v>
      </c>
      <c r="C183" s="5" t="str">
        <f t="shared" si="10"/>
        <v>0x16</v>
      </c>
      <c r="D183" s="5" t="s">
        <v>504</v>
      </c>
      <c r="E183" s="5" t="s">
        <v>345</v>
      </c>
      <c r="F183" s="5" t="str">
        <f t="shared" si="9"/>
        <v>DIVT_SUC</v>
      </c>
      <c r="G183" s="6">
        <v>523</v>
      </c>
      <c r="H183" s="7" t="str">
        <f t="shared" si="11"/>
        <v>0x0523</v>
      </c>
      <c r="I183" s="7"/>
      <c r="J183" s="5" t="s">
        <v>320</v>
      </c>
      <c r="K183" s="5" t="s">
        <v>240</v>
      </c>
    </row>
    <row r="184" spans="1:11" s="5" customFormat="1" hidden="1" x14ac:dyDescent="0.25">
      <c r="A184" s="1">
        <f t="shared" si="8"/>
        <v>22</v>
      </c>
      <c r="B184" s="5">
        <v>16</v>
      </c>
      <c r="C184" s="5" t="str">
        <f t="shared" si="10"/>
        <v>0x16</v>
      </c>
      <c r="D184" s="5" t="s">
        <v>505</v>
      </c>
      <c r="E184" s="5" t="s">
        <v>350</v>
      </c>
      <c r="F184" s="5" t="str">
        <f t="shared" si="9"/>
        <v>ADDS_SUM</v>
      </c>
      <c r="G184" s="6">
        <v>540</v>
      </c>
      <c r="H184" s="7" t="str">
        <f t="shared" si="11"/>
        <v>0x0540</v>
      </c>
      <c r="I184" s="7"/>
      <c r="J184" s="5" t="s">
        <v>320</v>
      </c>
      <c r="K184" s="5" t="s">
        <v>240</v>
      </c>
    </row>
    <row r="185" spans="1:11" hidden="1" x14ac:dyDescent="0.25">
      <c r="A185" s="1">
        <f t="shared" si="8"/>
        <v>22</v>
      </c>
      <c r="B185">
        <v>16</v>
      </c>
      <c r="C185" t="str">
        <f t="shared" si="10"/>
        <v>0x16</v>
      </c>
      <c r="D185" t="s">
        <v>499</v>
      </c>
      <c r="E185" t="s">
        <v>350</v>
      </c>
      <c r="F185" t="str">
        <f t="shared" si="9"/>
        <v>SUBS_SUM</v>
      </c>
      <c r="G185" s="2">
        <v>541</v>
      </c>
      <c r="H185" s="3" t="str">
        <f t="shared" si="11"/>
        <v>0x0541</v>
      </c>
      <c r="J185" t="s">
        <v>320</v>
      </c>
      <c r="K185" t="s">
        <v>240</v>
      </c>
    </row>
    <row r="186" spans="1:11" hidden="1" x14ac:dyDescent="0.25">
      <c r="A186" s="1">
        <f t="shared" si="8"/>
        <v>22</v>
      </c>
      <c r="B186">
        <v>16</v>
      </c>
      <c r="C186" t="str">
        <f t="shared" si="10"/>
        <v>0x16</v>
      </c>
      <c r="D186" t="s">
        <v>500</v>
      </c>
      <c r="E186" t="s">
        <v>350</v>
      </c>
      <c r="F186" t="str">
        <f t="shared" si="9"/>
        <v>MULS_SUM</v>
      </c>
      <c r="G186" s="2">
        <v>542</v>
      </c>
      <c r="H186" s="3" t="str">
        <f t="shared" si="11"/>
        <v>0x0542</v>
      </c>
      <c r="J186" t="s">
        <v>320</v>
      </c>
      <c r="K186" t="s">
        <v>240</v>
      </c>
    </row>
    <row r="187" spans="1:11" s="5" customFormat="1" hidden="1" x14ac:dyDescent="0.25">
      <c r="A187" s="1">
        <f t="shared" si="8"/>
        <v>22</v>
      </c>
      <c r="B187" s="5">
        <v>16</v>
      </c>
      <c r="C187" s="5" t="str">
        <f t="shared" si="10"/>
        <v>0x16</v>
      </c>
      <c r="D187" s="5" t="s">
        <v>501</v>
      </c>
      <c r="E187" s="5" t="s">
        <v>350</v>
      </c>
      <c r="F187" s="5" t="str">
        <f t="shared" si="9"/>
        <v>DIVS_SUM</v>
      </c>
      <c r="G187" s="6">
        <v>543</v>
      </c>
      <c r="H187" s="7" t="str">
        <f t="shared" si="11"/>
        <v>0x0543</v>
      </c>
      <c r="I187" s="7"/>
      <c r="J187" s="5" t="s">
        <v>320</v>
      </c>
      <c r="K187" s="5" t="s">
        <v>240</v>
      </c>
    </row>
    <row r="188" spans="1:11" s="5" customFormat="1" hidden="1" x14ac:dyDescent="0.25">
      <c r="A188" s="1">
        <f t="shared" si="8"/>
        <v>22</v>
      </c>
      <c r="B188" s="5">
        <v>16</v>
      </c>
      <c r="C188" s="5" t="str">
        <f t="shared" si="10"/>
        <v>0x16</v>
      </c>
      <c r="D188" s="5" t="s">
        <v>507</v>
      </c>
      <c r="E188" s="5" t="s">
        <v>350</v>
      </c>
      <c r="F188" s="5" t="str">
        <f t="shared" si="9"/>
        <v>ADDT_SUM</v>
      </c>
      <c r="G188" s="6">
        <v>560</v>
      </c>
      <c r="H188" s="7" t="str">
        <f t="shared" si="11"/>
        <v>0x0560</v>
      </c>
      <c r="I188" s="7"/>
      <c r="J188" s="5" t="s">
        <v>320</v>
      </c>
      <c r="K188" s="5" t="s">
        <v>240</v>
      </c>
    </row>
    <row r="189" spans="1:11" hidden="1" x14ac:dyDescent="0.25">
      <c r="A189" s="1">
        <f t="shared" si="8"/>
        <v>22</v>
      </c>
      <c r="B189">
        <v>16</v>
      </c>
      <c r="C189" t="str">
        <f t="shared" si="10"/>
        <v>0x16</v>
      </c>
      <c r="D189" t="s">
        <v>502</v>
      </c>
      <c r="E189" t="s">
        <v>350</v>
      </c>
      <c r="F189" t="str">
        <f t="shared" si="9"/>
        <v>SUBT_SUM</v>
      </c>
      <c r="G189" s="2">
        <v>561</v>
      </c>
      <c r="H189" s="3" t="str">
        <f t="shared" si="11"/>
        <v>0x0561</v>
      </c>
      <c r="J189" t="s">
        <v>320</v>
      </c>
      <c r="K189" t="s">
        <v>240</v>
      </c>
    </row>
    <row r="190" spans="1:11" hidden="1" x14ac:dyDescent="0.25">
      <c r="A190" s="1">
        <f t="shared" si="8"/>
        <v>22</v>
      </c>
      <c r="B190">
        <v>16</v>
      </c>
      <c r="C190" t="str">
        <f t="shared" si="10"/>
        <v>0x16</v>
      </c>
      <c r="D190" t="s">
        <v>503</v>
      </c>
      <c r="E190" t="s">
        <v>350</v>
      </c>
      <c r="F190" t="str">
        <f t="shared" si="9"/>
        <v>MULT_SUM</v>
      </c>
      <c r="G190" s="2">
        <v>562</v>
      </c>
      <c r="H190" s="3" t="str">
        <f t="shared" si="11"/>
        <v>0x0562</v>
      </c>
      <c r="J190" t="s">
        <v>320</v>
      </c>
      <c r="K190" t="s">
        <v>240</v>
      </c>
    </row>
    <row r="191" spans="1:11" s="5" customFormat="1" hidden="1" x14ac:dyDescent="0.25">
      <c r="A191" s="1">
        <f t="shared" si="8"/>
        <v>22</v>
      </c>
      <c r="B191" s="5">
        <v>16</v>
      </c>
      <c r="C191" s="5" t="str">
        <f t="shared" si="10"/>
        <v>0x16</v>
      </c>
      <c r="D191" s="5" t="s">
        <v>504</v>
      </c>
      <c r="E191" s="5" t="s">
        <v>350</v>
      </c>
      <c r="F191" s="5" t="str">
        <f t="shared" si="9"/>
        <v>DIVT_SUM</v>
      </c>
      <c r="G191" s="6">
        <v>563</v>
      </c>
      <c r="H191" s="7" t="str">
        <f t="shared" si="11"/>
        <v>0x0563</v>
      </c>
      <c r="I191" s="7"/>
      <c r="J191" s="5" t="s">
        <v>320</v>
      </c>
      <c r="K191" s="5" t="s">
        <v>240</v>
      </c>
    </row>
    <row r="192" spans="1:11" s="5" customFormat="1" hidden="1" x14ac:dyDescent="0.25">
      <c r="A192" s="1">
        <f t="shared" si="8"/>
        <v>22</v>
      </c>
      <c r="B192" s="5">
        <v>16</v>
      </c>
      <c r="C192" s="5" t="str">
        <f t="shared" si="10"/>
        <v>0x16</v>
      </c>
      <c r="D192" s="5" t="s">
        <v>505</v>
      </c>
      <c r="E192" s="5" t="s">
        <v>353</v>
      </c>
      <c r="F192" s="5" t="str">
        <f t="shared" si="9"/>
        <v>ADDS_SU</v>
      </c>
      <c r="G192" s="6">
        <v>580</v>
      </c>
      <c r="H192" s="7" t="str">
        <f t="shared" si="11"/>
        <v>0x0580</v>
      </c>
      <c r="I192" s="7"/>
      <c r="J192" s="5" t="s">
        <v>320</v>
      </c>
      <c r="K192" s="5" t="s">
        <v>240</v>
      </c>
    </row>
    <row r="193" spans="1:11" hidden="1" x14ac:dyDescent="0.25">
      <c r="A193" s="1">
        <f t="shared" ref="A193:A256" si="12">HEX2DEC(B193)</f>
        <v>22</v>
      </c>
      <c r="B193">
        <v>16</v>
      </c>
      <c r="C193" t="str">
        <f t="shared" ref="C193:C217" si="13">"0x"&amp;TEXT(DEC2HEX(A193),"00")</f>
        <v>0x16</v>
      </c>
      <c r="D193" t="s">
        <v>499</v>
      </c>
      <c r="E193" t="s">
        <v>353</v>
      </c>
      <c r="F193" t="str">
        <f t="shared" ref="F193:F256" si="14">IF(TRIM(E193)="",TRIM(D193),TRIM(D193)&amp;"_"&amp;TRIM(E193))</f>
        <v>SUBS_SU</v>
      </c>
      <c r="G193" s="2">
        <v>581</v>
      </c>
      <c r="H193" s="3" t="str">
        <f t="shared" ref="H193:H217" si="15">"0x"&amp;RIGHT("0000"&amp;UPPER(SUBSTITUTE(TRIM(G193),"0X","")),4)</f>
        <v>0x0581</v>
      </c>
      <c r="J193" t="s">
        <v>320</v>
      </c>
      <c r="K193" t="s">
        <v>240</v>
      </c>
    </row>
    <row r="194" spans="1:11" hidden="1" x14ac:dyDescent="0.25">
      <c r="A194" s="1">
        <f t="shared" si="12"/>
        <v>22</v>
      </c>
      <c r="B194">
        <v>16</v>
      </c>
      <c r="C194" t="str">
        <f t="shared" si="13"/>
        <v>0x16</v>
      </c>
      <c r="D194" t="s">
        <v>500</v>
      </c>
      <c r="E194" t="s">
        <v>353</v>
      </c>
      <c r="F194" t="str">
        <f t="shared" si="14"/>
        <v>MULS_SU</v>
      </c>
      <c r="G194" s="2">
        <v>582</v>
      </c>
      <c r="H194" s="3" t="str">
        <f t="shared" si="15"/>
        <v>0x0582</v>
      </c>
      <c r="J194" t="s">
        <v>320</v>
      </c>
      <c r="K194" t="s">
        <v>240</v>
      </c>
    </row>
    <row r="195" spans="1:11" s="5" customFormat="1" hidden="1" x14ac:dyDescent="0.25">
      <c r="A195" s="1">
        <f t="shared" si="12"/>
        <v>22</v>
      </c>
      <c r="B195" s="5">
        <v>16</v>
      </c>
      <c r="C195" s="5" t="str">
        <f t="shared" si="13"/>
        <v>0x16</v>
      </c>
      <c r="D195" s="5" t="s">
        <v>501</v>
      </c>
      <c r="E195" s="5" t="s">
        <v>353</v>
      </c>
      <c r="F195" s="5" t="str">
        <f t="shared" si="14"/>
        <v>DIVS_SU</v>
      </c>
      <c r="G195" s="6">
        <v>583</v>
      </c>
      <c r="H195" s="7" t="str">
        <f t="shared" si="15"/>
        <v>0x0583</v>
      </c>
      <c r="I195" s="7"/>
      <c r="J195" s="5" t="s">
        <v>320</v>
      </c>
      <c r="K195" s="5" t="s">
        <v>240</v>
      </c>
    </row>
    <row r="196" spans="1:11" s="5" customFormat="1" hidden="1" x14ac:dyDescent="0.25">
      <c r="A196" s="1">
        <f t="shared" si="12"/>
        <v>22</v>
      </c>
      <c r="B196" s="5">
        <v>16</v>
      </c>
      <c r="C196" s="5" t="str">
        <f t="shared" si="13"/>
        <v>0x16</v>
      </c>
      <c r="D196" s="5" t="s">
        <v>505</v>
      </c>
      <c r="E196" s="5" t="s">
        <v>361</v>
      </c>
      <c r="F196" s="5" t="str">
        <f t="shared" si="14"/>
        <v>ADDS_SUIC</v>
      </c>
      <c r="G196" s="6">
        <v>700</v>
      </c>
      <c r="H196" s="7" t="str">
        <f t="shared" si="15"/>
        <v>0x0700</v>
      </c>
      <c r="I196" s="7"/>
      <c r="J196" s="5" t="s">
        <v>320</v>
      </c>
      <c r="K196" s="5" t="s">
        <v>240</v>
      </c>
    </row>
    <row r="197" spans="1:11" hidden="1" x14ac:dyDescent="0.25">
      <c r="A197" s="1">
        <f t="shared" si="12"/>
        <v>22</v>
      </c>
      <c r="B197">
        <v>16</v>
      </c>
      <c r="C197" t="str">
        <f t="shared" si="13"/>
        <v>0x16</v>
      </c>
      <c r="D197" t="s">
        <v>499</v>
      </c>
      <c r="E197" t="s">
        <v>361</v>
      </c>
      <c r="F197" t="str">
        <f t="shared" si="14"/>
        <v>SUBS_SUIC</v>
      </c>
      <c r="G197" s="2">
        <v>701</v>
      </c>
      <c r="H197" s="3" t="str">
        <f t="shared" si="15"/>
        <v>0x0701</v>
      </c>
      <c r="J197" t="s">
        <v>320</v>
      </c>
      <c r="K197" t="s">
        <v>240</v>
      </c>
    </row>
    <row r="198" spans="1:11" hidden="1" x14ac:dyDescent="0.25">
      <c r="A198" s="1">
        <f t="shared" si="12"/>
        <v>22</v>
      </c>
      <c r="B198">
        <v>16</v>
      </c>
      <c r="C198" t="str">
        <f t="shared" si="13"/>
        <v>0x16</v>
      </c>
      <c r="D198" t="s">
        <v>500</v>
      </c>
      <c r="E198" t="s">
        <v>361</v>
      </c>
      <c r="F198" t="str">
        <f t="shared" si="14"/>
        <v>MULS_SUIC</v>
      </c>
      <c r="G198" s="2">
        <v>702</v>
      </c>
      <c r="H198" s="3" t="str">
        <f t="shared" si="15"/>
        <v>0x0702</v>
      </c>
      <c r="J198" t="s">
        <v>320</v>
      </c>
      <c r="K198" t="s">
        <v>240</v>
      </c>
    </row>
    <row r="199" spans="1:11" s="5" customFormat="1" hidden="1" x14ac:dyDescent="0.25">
      <c r="A199" s="1">
        <f t="shared" si="12"/>
        <v>22</v>
      </c>
      <c r="B199" s="5">
        <v>16</v>
      </c>
      <c r="C199" s="5" t="str">
        <f t="shared" si="13"/>
        <v>0x16</v>
      </c>
      <c r="D199" s="5" t="s">
        <v>501</v>
      </c>
      <c r="E199" s="5" t="s">
        <v>361</v>
      </c>
      <c r="F199" s="5" t="str">
        <f t="shared" si="14"/>
        <v>DIVS_SUIC</v>
      </c>
      <c r="G199" s="6">
        <v>703</v>
      </c>
      <c r="H199" s="7" t="str">
        <f t="shared" si="15"/>
        <v>0x0703</v>
      </c>
      <c r="I199" s="7"/>
      <c r="J199" s="5" t="s">
        <v>320</v>
      </c>
      <c r="K199" s="5" t="s">
        <v>240</v>
      </c>
    </row>
    <row r="200" spans="1:11" s="5" customFormat="1" hidden="1" x14ac:dyDescent="0.25">
      <c r="A200" s="1">
        <f t="shared" si="12"/>
        <v>22</v>
      </c>
      <c r="B200" s="5">
        <v>16</v>
      </c>
      <c r="C200" s="5" t="str">
        <f t="shared" si="13"/>
        <v>0x16</v>
      </c>
      <c r="D200" s="5" t="s">
        <v>507</v>
      </c>
      <c r="E200" s="5" t="s">
        <v>361</v>
      </c>
      <c r="F200" s="5" t="str">
        <f t="shared" si="14"/>
        <v>ADDT_SUIC</v>
      </c>
      <c r="G200" s="6">
        <v>720</v>
      </c>
      <c r="H200" s="7" t="str">
        <f t="shared" si="15"/>
        <v>0x0720</v>
      </c>
      <c r="I200" s="7"/>
      <c r="J200" s="5" t="s">
        <v>320</v>
      </c>
      <c r="K200" s="5" t="s">
        <v>240</v>
      </c>
    </row>
    <row r="201" spans="1:11" hidden="1" x14ac:dyDescent="0.25">
      <c r="A201" s="1">
        <f t="shared" si="12"/>
        <v>22</v>
      </c>
      <c r="B201">
        <v>16</v>
      </c>
      <c r="C201" t="str">
        <f t="shared" si="13"/>
        <v>0x16</v>
      </c>
      <c r="D201" t="s">
        <v>502</v>
      </c>
      <c r="E201" t="s">
        <v>361</v>
      </c>
      <c r="F201" t="str">
        <f t="shared" si="14"/>
        <v>SUBT_SUIC</v>
      </c>
      <c r="G201" s="2">
        <v>721</v>
      </c>
      <c r="H201" s="3" t="str">
        <f t="shared" si="15"/>
        <v>0x0721</v>
      </c>
      <c r="J201" t="s">
        <v>320</v>
      </c>
      <c r="K201" t="s">
        <v>240</v>
      </c>
    </row>
    <row r="202" spans="1:11" hidden="1" x14ac:dyDescent="0.25">
      <c r="A202" s="1">
        <f t="shared" si="12"/>
        <v>22</v>
      </c>
      <c r="B202">
        <v>16</v>
      </c>
      <c r="C202" t="str">
        <f t="shared" si="13"/>
        <v>0x16</v>
      </c>
      <c r="D202" t="s">
        <v>503</v>
      </c>
      <c r="E202" t="s">
        <v>361</v>
      </c>
      <c r="F202" t="str">
        <f t="shared" si="14"/>
        <v>MULT_SUIC</v>
      </c>
      <c r="G202" s="2">
        <v>722</v>
      </c>
      <c r="H202" s="3" t="str">
        <f t="shared" si="15"/>
        <v>0x0722</v>
      </c>
      <c r="J202" t="s">
        <v>320</v>
      </c>
      <c r="K202" t="s">
        <v>240</v>
      </c>
    </row>
    <row r="203" spans="1:11" s="5" customFormat="1" hidden="1" x14ac:dyDescent="0.25">
      <c r="A203" s="1">
        <f t="shared" si="12"/>
        <v>22</v>
      </c>
      <c r="B203" s="5">
        <v>16</v>
      </c>
      <c r="C203" s="5" t="str">
        <f t="shared" si="13"/>
        <v>0x16</v>
      </c>
      <c r="D203" s="5" t="s">
        <v>504</v>
      </c>
      <c r="E203" s="5" t="s">
        <v>361</v>
      </c>
      <c r="F203" s="5" t="str">
        <f t="shared" si="14"/>
        <v>DIVT_SUIC</v>
      </c>
      <c r="G203" s="6">
        <v>723</v>
      </c>
      <c r="H203" s="7" t="str">
        <f t="shared" si="15"/>
        <v>0x0723</v>
      </c>
      <c r="I203" s="7"/>
      <c r="J203" s="5" t="s">
        <v>320</v>
      </c>
      <c r="K203" s="5" t="s">
        <v>240</v>
      </c>
    </row>
    <row r="204" spans="1:11" s="5" customFormat="1" hidden="1" x14ac:dyDescent="0.25">
      <c r="A204" s="1">
        <f t="shared" si="12"/>
        <v>22</v>
      </c>
      <c r="B204" s="5">
        <v>16</v>
      </c>
      <c r="C204" s="5" t="str">
        <f t="shared" si="13"/>
        <v>0x16</v>
      </c>
      <c r="D204" s="5" t="s">
        <v>505</v>
      </c>
      <c r="E204" s="5" t="s">
        <v>364</v>
      </c>
      <c r="F204" s="5" t="str">
        <f t="shared" si="14"/>
        <v>ADDS_SUIM</v>
      </c>
      <c r="G204" s="6">
        <v>740</v>
      </c>
      <c r="H204" s="7" t="str">
        <f t="shared" si="15"/>
        <v>0x0740</v>
      </c>
      <c r="I204" s="7"/>
      <c r="J204" s="5" t="s">
        <v>320</v>
      </c>
      <c r="K204" s="5" t="s">
        <v>240</v>
      </c>
    </row>
    <row r="205" spans="1:11" hidden="1" x14ac:dyDescent="0.25">
      <c r="A205" s="1">
        <f t="shared" si="12"/>
        <v>22</v>
      </c>
      <c r="B205">
        <v>16</v>
      </c>
      <c r="C205" t="str">
        <f t="shared" si="13"/>
        <v>0x16</v>
      </c>
      <c r="D205" t="s">
        <v>499</v>
      </c>
      <c r="E205" t="s">
        <v>364</v>
      </c>
      <c r="F205" t="str">
        <f t="shared" si="14"/>
        <v>SUBS_SUIM</v>
      </c>
      <c r="G205" s="2">
        <v>741</v>
      </c>
      <c r="H205" s="3" t="str">
        <f t="shared" si="15"/>
        <v>0x0741</v>
      </c>
      <c r="J205" t="s">
        <v>320</v>
      </c>
      <c r="K205" t="s">
        <v>240</v>
      </c>
    </row>
    <row r="206" spans="1:11" hidden="1" x14ac:dyDescent="0.25">
      <c r="A206" s="1">
        <f t="shared" si="12"/>
        <v>22</v>
      </c>
      <c r="B206">
        <v>16</v>
      </c>
      <c r="C206" t="str">
        <f t="shared" si="13"/>
        <v>0x16</v>
      </c>
      <c r="D206" t="s">
        <v>500</v>
      </c>
      <c r="E206" t="s">
        <v>364</v>
      </c>
      <c r="F206" t="str">
        <f t="shared" si="14"/>
        <v>MULS_SUIM</v>
      </c>
      <c r="G206" s="2">
        <v>742</v>
      </c>
      <c r="H206" s="3" t="str">
        <f t="shared" si="15"/>
        <v>0x0742</v>
      </c>
      <c r="J206" t="s">
        <v>320</v>
      </c>
      <c r="K206" t="s">
        <v>240</v>
      </c>
    </row>
    <row r="207" spans="1:11" s="5" customFormat="1" hidden="1" x14ac:dyDescent="0.25">
      <c r="A207" s="1">
        <f t="shared" si="12"/>
        <v>22</v>
      </c>
      <c r="B207" s="5">
        <v>16</v>
      </c>
      <c r="C207" s="5" t="str">
        <f t="shared" si="13"/>
        <v>0x16</v>
      </c>
      <c r="D207" s="5" t="s">
        <v>501</v>
      </c>
      <c r="E207" s="5" t="s">
        <v>364</v>
      </c>
      <c r="F207" s="5" t="str">
        <f t="shared" si="14"/>
        <v>DIVS_SUIM</v>
      </c>
      <c r="G207" s="6">
        <v>743</v>
      </c>
      <c r="H207" s="7" t="str">
        <f t="shared" si="15"/>
        <v>0x0743</v>
      </c>
      <c r="I207" s="7"/>
      <c r="J207" s="5" t="s">
        <v>320</v>
      </c>
      <c r="K207" s="5" t="s">
        <v>240</v>
      </c>
    </row>
    <row r="208" spans="1:11" s="5" customFormat="1" hidden="1" x14ac:dyDescent="0.25">
      <c r="A208" s="1">
        <f t="shared" si="12"/>
        <v>22</v>
      </c>
      <c r="B208" s="5">
        <v>16</v>
      </c>
      <c r="C208" s="5" t="str">
        <f t="shared" si="13"/>
        <v>0x16</v>
      </c>
      <c r="D208" s="5" t="s">
        <v>507</v>
      </c>
      <c r="E208" s="5" t="s">
        <v>364</v>
      </c>
      <c r="F208" s="5" t="str">
        <f t="shared" si="14"/>
        <v>ADDT_SUIM</v>
      </c>
      <c r="G208" s="6">
        <v>760</v>
      </c>
      <c r="H208" s="7" t="str">
        <f t="shared" si="15"/>
        <v>0x0760</v>
      </c>
      <c r="I208" s="7"/>
      <c r="J208" s="5" t="s">
        <v>320</v>
      </c>
      <c r="K208" s="5" t="s">
        <v>240</v>
      </c>
    </row>
    <row r="209" spans="1:11" hidden="1" x14ac:dyDescent="0.25">
      <c r="A209" s="1">
        <f t="shared" si="12"/>
        <v>22</v>
      </c>
      <c r="B209">
        <v>16</v>
      </c>
      <c r="C209" t="str">
        <f t="shared" si="13"/>
        <v>0x16</v>
      </c>
      <c r="D209" t="s">
        <v>502</v>
      </c>
      <c r="E209" t="s">
        <v>364</v>
      </c>
      <c r="F209" t="str">
        <f t="shared" si="14"/>
        <v>SUBT_SUIM</v>
      </c>
      <c r="G209" s="2">
        <v>761</v>
      </c>
      <c r="H209" s="3" t="str">
        <f t="shared" si="15"/>
        <v>0x0761</v>
      </c>
      <c r="J209" t="s">
        <v>320</v>
      </c>
      <c r="K209" t="s">
        <v>240</v>
      </c>
    </row>
    <row r="210" spans="1:11" hidden="1" x14ac:dyDescent="0.25">
      <c r="A210" s="1">
        <f t="shared" si="12"/>
        <v>22</v>
      </c>
      <c r="B210">
        <v>16</v>
      </c>
      <c r="C210" t="str">
        <f t="shared" si="13"/>
        <v>0x16</v>
      </c>
      <c r="D210" t="s">
        <v>503</v>
      </c>
      <c r="E210" t="s">
        <v>364</v>
      </c>
      <c r="F210" t="str">
        <f t="shared" si="14"/>
        <v>MULT_SUIM</v>
      </c>
      <c r="G210" s="2">
        <v>762</v>
      </c>
      <c r="H210" s="3" t="str">
        <f t="shared" si="15"/>
        <v>0x0762</v>
      </c>
      <c r="J210" t="s">
        <v>320</v>
      </c>
      <c r="K210" t="s">
        <v>240</v>
      </c>
    </row>
    <row r="211" spans="1:11" s="5" customFormat="1" hidden="1" x14ac:dyDescent="0.25">
      <c r="A211" s="1">
        <f t="shared" si="12"/>
        <v>22</v>
      </c>
      <c r="B211" s="5">
        <v>16</v>
      </c>
      <c r="C211" s="5" t="str">
        <f t="shared" si="13"/>
        <v>0x16</v>
      </c>
      <c r="D211" s="5" t="s">
        <v>504</v>
      </c>
      <c r="E211" s="5" t="s">
        <v>364</v>
      </c>
      <c r="F211" s="5" t="str">
        <f t="shared" si="14"/>
        <v>DIVT_SUIM</v>
      </c>
      <c r="G211" s="6">
        <v>763</v>
      </c>
      <c r="H211" s="7" t="str">
        <f t="shared" si="15"/>
        <v>0x0763</v>
      </c>
      <c r="I211" s="7"/>
      <c r="J211" s="5" t="s">
        <v>320</v>
      </c>
      <c r="K211" s="5" t="s">
        <v>240</v>
      </c>
    </row>
    <row r="212" spans="1:11" s="5" customFormat="1" hidden="1" x14ac:dyDescent="0.25">
      <c r="A212" s="1">
        <f t="shared" si="12"/>
        <v>22</v>
      </c>
      <c r="B212" s="5">
        <v>16</v>
      </c>
      <c r="C212" s="5" t="str">
        <f t="shared" si="13"/>
        <v>0x16</v>
      </c>
      <c r="D212" s="5" t="s">
        <v>505</v>
      </c>
      <c r="E212" s="5" t="s">
        <v>367</v>
      </c>
      <c r="F212" s="5" t="str">
        <f t="shared" si="14"/>
        <v>ADDS_SUI</v>
      </c>
      <c r="G212" s="6">
        <v>780</v>
      </c>
      <c r="H212" s="7" t="str">
        <f t="shared" si="15"/>
        <v>0x0780</v>
      </c>
      <c r="I212" s="7"/>
      <c r="J212" s="5" t="s">
        <v>320</v>
      </c>
      <c r="K212" s="5" t="s">
        <v>240</v>
      </c>
    </row>
    <row r="213" spans="1:11" hidden="1" x14ac:dyDescent="0.25">
      <c r="A213" s="1">
        <f t="shared" si="12"/>
        <v>22</v>
      </c>
      <c r="B213">
        <v>16</v>
      </c>
      <c r="C213" t="str">
        <f t="shared" si="13"/>
        <v>0x16</v>
      </c>
      <c r="D213" t="s">
        <v>499</v>
      </c>
      <c r="E213" t="s">
        <v>367</v>
      </c>
      <c r="F213" t="str">
        <f t="shared" si="14"/>
        <v>SUBS_SUI</v>
      </c>
      <c r="G213" s="2">
        <v>781</v>
      </c>
      <c r="H213" s="3" t="str">
        <f t="shared" si="15"/>
        <v>0x0781</v>
      </c>
      <c r="J213" t="s">
        <v>320</v>
      </c>
      <c r="K213" t="s">
        <v>240</v>
      </c>
    </row>
    <row r="214" spans="1:11" hidden="1" x14ac:dyDescent="0.25">
      <c r="A214" s="1">
        <f t="shared" si="12"/>
        <v>22</v>
      </c>
      <c r="B214">
        <v>16</v>
      </c>
      <c r="C214" t="str">
        <f t="shared" si="13"/>
        <v>0x16</v>
      </c>
      <c r="D214" t="s">
        <v>500</v>
      </c>
      <c r="E214" t="s">
        <v>367</v>
      </c>
      <c r="F214" t="str">
        <f t="shared" si="14"/>
        <v>MULS_SUI</v>
      </c>
      <c r="G214" s="2">
        <v>782</v>
      </c>
      <c r="H214" s="3" t="str">
        <f t="shared" si="15"/>
        <v>0x0782</v>
      </c>
      <c r="J214" t="s">
        <v>320</v>
      </c>
      <c r="K214" t="s">
        <v>240</v>
      </c>
    </row>
    <row r="215" spans="1:11" s="5" customFormat="1" hidden="1" x14ac:dyDescent="0.25">
      <c r="A215" s="1">
        <f t="shared" si="12"/>
        <v>22</v>
      </c>
      <c r="B215" s="5">
        <v>16</v>
      </c>
      <c r="C215" s="5" t="str">
        <f t="shared" si="13"/>
        <v>0x16</v>
      </c>
      <c r="D215" s="5" t="s">
        <v>501</v>
      </c>
      <c r="E215" s="5" t="s">
        <v>367</v>
      </c>
      <c r="F215" s="5" t="str">
        <f t="shared" si="14"/>
        <v>DIVS_SUI</v>
      </c>
      <c r="G215" s="6" t="s">
        <v>676</v>
      </c>
      <c r="H215" s="7" t="str">
        <f t="shared" si="15"/>
        <v>0x0783</v>
      </c>
      <c r="I215" s="7"/>
      <c r="J215" s="5" t="s">
        <v>320</v>
      </c>
      <c r="K215" s="5" t="s">
        <v>240</v>
      </c>
    </row>
    <row r="216" spans="1:11" s="5" customFormat="1" hidden="1" x14ac:dyDescent="0.25">
      <c r="A216" s="1">
        <f t="shared" si="12"/>
        <v>22</v>
      </c>
      <c r="B216" s="5">
        <v>16</v>
      </c>
      <c r="C216" s="5" t="str">
        <f t="shared" si="13"/>
        <v>0x16</v>
      </c>
      <c r="D216" s="5" t="s">
        <v>505</v>
      </c>
      <c r="E216" s="5" t="s">
        <v>396</v>
      </c>
      <c r="F216" s="5" t="str">
        <f t="shared" si="14"/>
        <v>ADDS_C</v>
      </c>
      <c r="G216" s="6">
        <v>0</v>
      </c>
      <c r="H216" s="7" t="str">
        <f t="shared" si="15"/>
        <v>0x0000</v>
      </c>
      <c r="I216" s="7"/>
      <c r="J216" s="5" t="s">
        <v>320</v>
      </c>
      <c r="K216" s="5" t="s">
        <v>240</v>
      </c>
    </row>
    <row r="217" spans="1:11" s="5" customFormat="1" hidden="1" x14ac:dyDescent="0.25">
      <c r="A217" s="1">
        <f t="shared" si="12"/>
        <v>22</v>
      </c>
      <c r="B217" s="5">
        <v>16</v>
      </c>
      <c r="C217" s="5" t="str">
        <f t="shared" si="13"/>
        <v>0x16</v>
      </c>
      <c r="D217" s="5" t="s">
        <v>507</v>
      </c>
      <c r="E217" s="5" t="s">
        <v>396</v>
      </c>
      <c r="F217" s="5" t="str">
        <f t="shared" si="14"/>
        <v>ADDT_C</v>
      </c>
      <c r="G217" s="6">
        <v>20</v>
      </c>
      <c r="H217" s="7" t="str">
        <f t="shared" si="15"/>
        <v>0x0020</v>
      </c>
      <c r="I217" s="7"/>
      <c r="J217" s="5" t="s">
        <v>320</v>
      </c>
      <c r="K217" s="5" t="s">
        <v>240</v>
      </c>
    </row>
    <row r="218" spans="1:11" hidden="1" x14ac:dyDescent="0.25">
      <c r="A218" s="1">
        <f t="shared" si="12"/>
        <v>22</v>
      </c>
      <c r="B218">
        <v>16</v>
      </c>
      <c r="C218" t="str">
        <f>"0x"&amp;TEXT(DEC2HEX(A218),"00")</f>
        <v>0x16</v>
      </c>
      <c r="D218" t="s">
        <v>508</v>
      </c>
      <c r="E218" t="s">
        <v>396</v>
      </c>
      <c r="F218" t="str">
        <f t="shared" si="14"/>
        <v>CVTTS_C</v>
      </c>
      <c r="G218" s="2" t="s">
        <v>391</v>
      </c>
      <c r="H218" s="3" t="str">
        <f t="shared" ref="H218:H281" si="16">"0x"&amp;RIGHT("0000"&amp;UPPER(SUBSTITUTE(TRIM(G218),"0X","")),4)</f>
        <v>0x002C</v>
      </c>
      <c r="J218" t="s">
        <v>320</v>
      </c>
      <c r="K218" t="s">
        <v>240</v>
      </c>
    </row>
    <row r="219" spans="1:11" hidden="1" x14ac:dyDescent="0.25">
      <c r="A219" s="1">
        <f t="shared" si="12"/>
        <v>22</v>
      </c>
      <c r="B219">
        <v>16</v>
      </c>
      <c r="C219" t="str">
        <f>"0x"&amp;TEXT(DEC2HEX(A219),"00")</f>
        <v>0x16</v>
      </c>
      <c r="D219" t="s">
        <v>509</v>
      </c>
      <c r="E219" t="s">
        <v>396</v>
      </c>
      <c r="F219" t="str">
        <f t="shared" si="14"/>
        <v>CVTTQ_C</v>
      </c>
      <c r="G219" s="2" t="s">
        <v>394</v>
      </c>
      <c r="H219" s="3" t="str">
        <f t="shared" si="16"/>
        <v>0x002F</v>
      </c>
      <c r="J219" t="s">
        <v>320</v>
      </c>
      <c r="K219" t="s">
        <v>240</v>
      </c>
    </row>
    <row r="220" spans="1:11" hidden="1" x14ac:dyDescent="0.25">
      <c r="A220" s="1">
        <f t="shared" si="12"/>
        <v>22</v>
      </c>
      <c r="B220">
        <v>16</v>
      </c>
      <c r="C220" t="str">
        <f>"0x"&amp;TEXT(DEC2HEX(A220),"00")</f>
        <v>0x16</v>
      </c>
      <c r="D220" t="s">
        <v>510</v>
      </c>
      <c r="E220" t="s">
        <v>396</v>
      </c>
      <c r="F220" t="str">
        <f t="shared" si="14"/>
        <v>CVTQS_C</v>
      </c>
      <c r="G220" s="2" t="s">
        <v>398</v>
      </c>
      <c r="H220" s="3" t="str">
        <f t="shared" si="16"/>
        <v>0x003C</v>
      </c>
      <c r="J220" t="s">
        <v>320</v>
      </c>
      <c r="K220" t="s">
        <v>240</v>
      </c>
    </row>
    <row r="221" spans="1:11" hidden="1" x14ac:dyDescent="0.25">
      <c r="A221" s="1">
        <f t="shared" si="12"/>
        <v>22</v>
      </c>
      <c r="B221">
        <v>16</v>
      </c>
      <c r="C221" t="str">
        <f>"0x"&amp;TEXT(DEC2HEX(A221),"00")</f>
        <v>0x16</v>
      </c>
      <c r="D221" t="s">
        <v>511</v>
      </c>
      <c r="E221" t="s">
        <v>396</v>
      </c>
      <c r="F221" t="str">
        <f t="shared" si="14"/>
        <v>CVTQT_C</v>
      </c>
      <c r="G221" s="2" t="s">
        <v>400</v>
      </c>
      <c r="H221" s="3" t="str">
        <f t="shared" si="16"/>
        <v>0x003E</v>
      </c>
      <c r="J221" t="s">
        <v>320</v>
      </c>
      <c r="K221" t="s">
        <v>240</v>
      </c>
    </row>
    <row r="222" spans="1:11" hidden="1" x14ac:dyDescent="0.25">
      <c r="A222" s="1">
        <f t="shared" si="12"/>
        <v>22</v>
      </c>
      <c r="B222">
        <v>16</v>
      </c>
      <c r="C222" t="s">
        <v>670</v>
      </c>
      <c r="D222" t="s">
        <v>508</v>
      </c>
      <c r="E222" t="s">
        <v>520</v>
      </c>
      <c r="F222" t="str">
        <f t="shared" si="14"/>
        <v>CVTTS_D</v>
      </c>
      <c r="G222" s="2" t="s">
        <v>526</v>
      </c>
      <c r="H222" s="3" t="str">
        <f t="shared" si="16"/>
        <v>0x00EC</v>
      </c>
      <c r="J222" t="s">
        <v>320</v>
      </c>
      <c r="K222" t="s">
        <v>240</v>
      </c>
    </row>
    <row r="223" spans="1:11" hidden="1" x14ac:dyDescent="0.25">
      <c r="A223" s="1">
        <f t="shared" si="12"/>
        <v>22</v>
      </c>
      <c r="B223">
        <v>16</v>
      </c>
      <c r="C223" t="str">
        <f t="shared" ref="C223:C286" si="17">"0x"&amp;TEXT(DEC2HEX(A223),"00")</f>
        <v>0x16</v>
      </c>
      <c r="D223" t="s">
        <v>509</v>
      </c>
      <c r="E223" t="s">
        <v>506</v>
      </c>
      <c r="F223" t="str">
        <f t="shared" si="14"/>
        <v>CVTTQ_M</v>
      </c>
      <c r="G223" s="2" t="s">
        <v>513</v>
      </c>
      <c r="H223" s="3" t="str">
        <f t="shared" si="16"/>
        <v>0x006F</v>
      </c>
      <c r="J223" t="s">
        <v>320</v>
      </c>
      <c r="K223" t="s">
        <v>240</v>
      </c>
    </row>
    <row r="224" spans="1:11" hidden="1" x14ac:dyDescent="0.25">
      <c r="A224" s="1">
        <f t="shared" si="12"/>
        <v>22</v>
      </c>
      <c r="B224">
        <v>16</v>
      </c>
      <c r="C224" t="str">
        <f t="shared" si="17"/>
        <v>0x16</v>
      </c>
      <c r="D224" t="s">
        <v>510</v>
      </c>
      <c r="E224" t="s">
        <v>506</v>
      </c>
      <c r="F224" t="str">
        <f t="shared" si="14"/>
        <v>CVTQS_M</v>
      </c>
      <c r="G224" s="2" t="s">
        <v>514</v>
      </c>
      <c r="H224" s="3" t="str">
        <f t="shared" si="16"/>
        <v>0x007C</v>
      </c>
      <c r="J224" t="s">
        <v>320</v>
      </c>
      <c r="K224" t="s">
        <v>240</v>
      </c>
    </row>
    <row r="225" spans="1:11" hidden="1" x14ac:dyDescent="0.25">
      <c r="A225" s="1">
        <f t="shared" si="12"/>
        <v>22</v>
      </c>
      <c r="B225">
        <v>16</v>
      </c>
      <c r="C225" t="str">
        <f t="shared" si="17"/>
        <v>0x16</v>
      </c>
      <c r="D225" t="s">
        <v>511</v>
      </c>
      <c r="E225" t="s">
        <v>506</v>
      </c>
      <c r="F225" t="str">
        <f t="shared" si="14"/>
        <v>CVTQT_M</v>
      </c>
      <c r="G225" s="2" t="s">
        <v>400</v>
      </c>
      <c r="H225" s="3" t="str">
        <f t="shared" si="16"/>
        <v>0x003E</v>
      </c>
      <c r="J225" t="s">
        <v>320</v>
      </c>
      <c r="K225" t="s">
        <v>240</v>
      </c>
    </row>
    <row r="226" spans="1:11" s="5" customFormat="1" hidden="1" x14ac:dyDescent="0.25">
      <c r="A226" s="1">
        <f t="shared" si="12"/>
        <v>22</v>
      </c>
      <c r="B226" s="5">
        <v>16</v>
      </c>
      <c r="C226" s="5" t="str">
        <f t="shared" si="17"/>
        <v>0x16</v>
      </c>
      <c r="D226" s="5" t="s">
        <v>507</v>
      </c>
      <c r="F226" s="5" t="str">
        <f t="shared" si="14"/>
        <v>ADDT</v>
      </c>
      <c r="G226" s="6" t="s">
        <v>405</v>
      </c>
      <c r="H226" s="7" t="str">
        <f t="shared" si="16"/>
        <v>0x00A0</v>
      </c>
      <c r="I226" s="7"/>
      <c r="J226" s="5" t="s">
        <v>320</v>
      </c>
      <c r="K226" s="5" t="s">
        <v>240</v>
      </c>
    </row>
    <row r="227" spans="1:11" hidden="1" x14ac:dyDescent="0.25">
      <c r="A227" s="1">
        <f t="shared" si="12"/>
        <v>22</v>
      </c>
      <c r="B227">
        <v>16</v>
      </c>
      <c r="C227" t="str">
        <f t="shared" si="17"/>
        <v>0x16</v>
      </c>
      <c r="D227" t="s">
        <v>502</v>
      </c>
      <c r="F227" t="str">
        <f t="shared" si="14"/>
        <v>SUBT</v>
      </c>
      <c r="G227" s="2" t="s">
        <v>406</v>
      </c>
      <c r="H227" s="3" t="str">
        <f t="shared" si="16"/>
        <v>0x00A1</v>
      </c>
      <c r="J227" t="s">
        <v>320</v>
      </c>
      <c r="K227" t="s">
        <v>240</v>
      </c>
    </row>
    <row r="228" spans="1:11" hidden="1" x14ac:dyDescent="0.25">
      <c r="A228" s="1">
        <f t="shared" si="12"/>
        <v>22</v>
      </c>
      <c r="B228">
        <v>16</v>
      </c>
      <c r="C228" t="str">
        <f t="shared" si="17"/>
        <v>0x16</v>
      </c>
      <c r="D228" t="s">
        <v>503</v>
      </c>
      <c r="F228" t="str">
        <f t="shared" si="14"/>
        <v>MULT</v>
      </c>
      <c r="G228" s="2" t="s">
        <v>407</v>
      </c>
      <c r="H228" s="3" t="str">
        <f t="shared" si="16"/>
        <v>0x00A2</v>
      </c>
      <c r="J228" t="s">
        <v>320</v>
      </c>
      <c r="K228" t="s">
        <v>240</v>
      </c>
    </row>
    <row r="229" spans="1:11" s="5" customFormat="1" hidden="1" x14ac:dyDescent="0.25">
      <c r="A229" s="1">
        <f t="shared" si="12"/>
        <v>22</v>
      </c>
      <c r="B229" s="5">
        <v>16</v>
      </c>
      <c r="C229" s="5" t="str">
        <f t="shared" si="17"/>
        <v>0x16</v>
      </c>
      <c r="D229" s="5" t="s">
        <v>504</v>
      </c>
      <c r="F229" s="5" t="str">
        <f t="shared" si="14"/>
        <v>DIVT</v>
      </c>
      <c r="G229" s="6" t="s">
        <v>408</v>
      </c>
      <c r="H229" s="7" t="str">
        <f t="shared" si="16"/>
        <v>0x00A3</v>
      </c>
      <c r="I229" s="7"/>
      <c r="J229" s="5" t="s">
        <v>320</v>
      </c>
      <c r="K229" s="5" t="s">
        <v>240</v>
      </c>
    </row>
    <row r="230" spans="1:11" s="5" customFormat="1" hidden="1" x14ac:dyDescent="0.25">
      <c r="A230" s="1">
        <f t="shared" si="12"/>
        <v>22</v>
      </c>
      <c r="B230" s="5">
        <v>16</v>
      </c>
      <c r="C230" s="5" t="str">
        <f t="shared" si="17"/>
        <v>0x16</v>
      </c>
      <c r="D230" s="5" t="s">
        <v>515</v>
      </c>
      <c r="F230" s="5" t="str">
        <f t="shared" si="14"/>
        <v>CMPTUN</v>
      </c>
      <c r="G230" s="6" t="s">
        <v>516</v>
      </c>
      <c r="H230" s="7" t="str">
        <f t="shared" si="16"/>
        <v>0x00A4</v>
      </c>
      <c r="I230" s="7"/>
      <c r="J230" s="5" t="s">
        <v>320</v>
      </c>
      <c r="K230" s="5" t="s">
        <v>240</v>
      </c>
    </row>
    <row r="231" spans="1:11" s="5" customFormat="1" hidden="1" x14ac:dyDescent="0.25">
      <c r="A231" s="1">
        <f t="shared" si="12"/>
        <v>22</v>
      </c>
      <c r="B231" s="5">
        <v>16</v>
      </c>
      <c r="C231" s="5" t="str">
        <f t="shared" si="17"/>
        <v>0x16</v>
      </c>
      <c r="D231" s="5" t="s">
        <v>517</v>
      </c>
      <c r="F231" s="5" t="str">
        <f t="shared" si="14"/>
        <v>CMPTEQ</v>
      </c>
      <c r="G231" s="6" t="s">
        <v>410</v>
      </c>
      <c r="H231" s="7" t="str">
        <f t="shared" si="16"/>
        <v>0x00A5</v>
      </c>
      <c r="I231" s="7"/>
      <c r="J231" s="5" t="s">
        <v>320</v>
      </c>
      <c r="K231" s="5" t="s">
        <v>240</v>
      </c>
    </row>
    <row r="232" spans="1:11" s="5" customFormat="1" hidden="1" x14ac:dyDescent="0.25">
      <c r="A232" s="1">
        <f t="shared" si="12"/>
        <v>22</v>
      </c>
      <c r="B232" s="5">
        <v>16</v>
      </c>
      <c r="C232" s="5" t="str">
        <f t="shared" si="17"/>
        <v>0x16</v>
      </c>
      <c r="D232" s="5" t="s">
        <v>518</v>
      </c>
      <c r="F232" s="5" t="str">
        <f t="shared" si="14"/>
        <v>CMPTLT</v>
      </c>
      <c r="G232" s="6" t="s">
        <v>412</v>
      </c>
      <c r="H232" s="7" t="str">
        <f t="shared" si="16"/>
        <v>0x00A6</v>
      </c>
      <c r="I232" s="7"/>
      <c r="J232" s="5" t="s">
        <v>320</v>
      </c>
      <c r="K232" s="5" t="s">
        <v>240</v>
      </c>
    </row>
    <row r="233" spans="1:11" s="5" customFormat="1" hidden="1" x14ac:dyDescent="0.25">
      <c r="A233" s="1">
        <f t="shared" si="12"/>
        <v>22</v>
      </c>
      <c r="B233" s="5">
        <v>16</v>
      </c>
      <c r="C233" s="5" t="str">
        <f t="shared" si="17"/>
        <v>0x16</v>
      </c>
      <c r="D233" s="5" t="s">
        <v>519</v>
      </c>
      <c r="F233" s="5" t="str">
        <f t="shared" si="14"/>
        <v>CMPTLE</v>
      </c>
      <c r="G233" s="6" t="s">
        <v>414</v>
      </c>
      <c r="H233" s="7" t="str">
        <f t="shared" si="16"/>
        <v>0x00A7</v>
      </c>
      <c r="I233" s="7"/>
      <c r="J233" s="5" t="s">
        <v>320</v>
      </c>
      <c r="K233" s="5" t="s">
        <v>240</v>
      </c>
    </row>
    <row r="234" spans="1:11" hidden="1" x14ac:dyDescent="0.25">
      <c r="A234" s="1">
        <f t="shared" si="12"/>
        <v>22</v>
      </c>
      <c r="B234">
        <v>16</v>
      </c>
      <c r="C234" t="str">
        <f t="shared" si="17"/>
        <v>0x16</v>
      </c>
      <c r="D234" t="s">
        <v>508</v>
      </c>
      <c r="E234" t="s">
        <v>506</v>
      </c>
      <c r="F234" t="str">
        <f t="shared" si="14"/>
        <v>CVTTS_M</v>
      </c>
      <c r="G234" s="2" t="s">
        <v>512</v>
      </c>
      <c r="H234" s="3" t="str">
        <f t="shared" si="16"/>
        <v>0x006C</v>
      </c>
      <c r="J234" t="s">
        <v>320</v>
      </c>
      <c r="K234" t="s">
        <v>240</v>
      </c>
    </row>
    <row r="235" spans="1:11" hidden="1" x14ac:dyDescent="0.25">
      <c r="A235" s="1">
        <f t="shared" si="12"/>
        <v>22</v>
      </c>
      <c r="B235">
        <v>16</v>
      </c>
      <c r="C235" t="str">
        <f t="shared" si="17"/>
        <v>0x16</v>
      </c>
      <c r="D235" t="s">
        <v>509</v>
      </c>
      <c r="F235" t="str">
        <f t="shared" si="14"/>
        <v>CVTTQ</v>
      </c>
      <c r="G235" s="2" t="s">
        <v>316</v>
      </c>
      <c r="H235" s="3" t="str">
        <f t="shared" si="16"/>
        <v>0x00AF</v>
      </c>
      <c r="J235" t="s">
        <v>320</v>
      </c>
      <c r="K235" t="s">
        <v>240</v>
      </c>
    </row>
    <row r="236" spans="1:11" hidden="1" x14ac:dyDescent="0.25">
      <c r="A236" s="1">
        <f t="shared" si="12"/>
        <v>22</v>
      </c>
      <c r="B236">
        <v>16</v>
      </c>
      <c r="C236" t="str">
        <f t="shared" si="17"/>
        <v>0x16</v>
      </c>
      <c r="D236" t="s">
        <v>510</v>
      </c>
      <c r="F236" t="str">
        <f t="shared" si="14"/>
        <v>CVTQS</v>
      </c>
      <c r="G236" s="2" t="s">
        <v>418</v>
      </c>
      <c r="H236" s="3" t="str">
        <f t="shared" si="16"/>
        <v>0x00BC</v>
      </c>
      <c r="J236" t="s">
        <v>320</v>
      </c>
      <c r="K236" t="s">
        <v>240</v>
      </c>
    </row>
    <row r="237" spans="1:11" hidden="1" x14ac:dyDescent="0.25">
      <c r="A237" s="1">
        <f t="shared" si="12"/>
        <v>22</v>
      </c>
      <c r="B237">
        <v>16</v>
      </c>
      <c r="C237" t="str">
        <f t="shared" si="17"/>
        <v>0x16</v>
      </c>
      <c r="D237" t="s">
        <v>511</v>
      </c>
      <c r="F237" t="str">
        <f t="shared" si="14"/>
        <v>CVTQT</v>
      </c>
      <c r="G237" s="2" t="s">
        <v>419</v>
      </c>
      <c r="H237" s="3" t="str">
        <f t="shared" si="16"/>
        <v>0x00BE</v>
      </c>
      <c r="J237" t="s">
        <v>320</v>
      </c>
      <c r="K237" t="s">
        <v>240</v>
      </c>
    </row>
    <row r="238" spans="1:11" s="5" customFormat="1" hidden="1" x14ac:dyDescent="0.25">
      <c r="A238" s="1">
        <f t="shared" si="12"/>
        <v>22</v>
      </c>
      <c r="B238" s="5">
        <v>16</v>
      </c>
      <c r="C238" s="5" t="str">
        <f t="shared" si="17"/>
        <v>0x16</v>
      </c>
      <c r="D238" s="5" t="s">
        <v>505</v>
      </c>
      <c r="E238" s="5" t="s">
        <v>520</v>
      </c>
      <c r="F238" s="5" t="str">
        <f t="shared" si="14"/>
        <v>ADDS_D</v>
      </c>
      <c r="G238" s="6" t="s">
        <v>521</v>
      </c>
      <c r="H238" s="7" t="str">
        <f t="shared" si="16"/>
        <v>0x00C0</v>
      </c>
      <c r="I238" s="7"/>
      <c r="J238" s="5" t="s">
        <v>320</v>
      </c>
      <c r="K238" s="5" t="s">
        <v>240</v>
      </c>
    </row>
    <row r="239" spans="1:11" s="5" customFormat="1" hidden="1" x14ac:dyDescent="0.25">
      <c r="A239" s="1">
        <f t="shared" si="12"/>
        <v>22</v>
      </c>
      <c r="B239" s="5">
        <v>16</v>
      </c>
      <c r="C239" s="5" t="str">
        <f t="shared" si="17"/>
        <v>0x16</v>
      </c>
      <c r="D239" s="5" t="s">
        <v>507</v>
      </c>
      <c r="E239" s="5" t="s">
        <v>520</v>
      </c>
      <c r="F239" s="5" t="str">
        <f t="shared" si="14"/>
        <v>ADDT_D</v>
      </c>
      <c r="G239" s="6" t="s">
        <v>522</v>
      </c>
      <c r="H239" s="7" t="str">
        <f t="shared" si="16"/>
        <v>0x00E0</v>
      </c>
      <c r="I239" s="7"/>
      <c r="J239" s="5" t="s">
        <v>320</v>
      </c>
      <c r="K239" s="5" t="s">
        <v>240</v>
      </c>
    </row>
    <row r="240" spans="1:11" hidden="1" x14ac:dyDescent="0.25">
      <c r="A240" s="1">
        <f t="shared" si="12"/>
        <v>22</v>
      </c>
      <c r="B240">
        <v>16</v>
      </c>
      <c r="C240" t="str">
        <f t="shared" si="17"/>
        <v>0x16</v>
      </c>
      <c r="D240" t="s">
        <v>502</v>
      </c>
      <c r="E240" t="s">
        <v>520</v>
      </c>
      <c r="F240" t="str">
        <f t="shared" si="14"/>
        <v>SUBT_D</v>
      </c>
      <c r="G240" s="2" t="s">
        <v>523</v>
      </c>
      <c r="H240" s="3" t="str">
        <f t="shared" si="16"/>
        <v>0x00E1</v>
      </c>
      <c r="J240" t="s">
        <v>320</v>
      </c>
      <c r="K240" t="s">
        <v>240</v>
      </c>
    </row>
    <row r="241" spans="1:11" hidden="1" x14ac:dyDescent="0.25">
      <c r="A241" s="1">
        <f t="shared" si="12"/>
        <v>22</v>
      </c>
      <c r="B241">
        <v>16</v>
      </c>
      <c r="C241" t="str">
        <f t="shared" si="17"/>
        <v>0x16</v>
      </c>
      <c r="D241" t="s">
        <v>503</v>
      </c>
      <c r="E241" t="s">
        <v>520</v>
      </c>
      <c r="F241" t="str">
        <f t="shared" si="14"/>
        <v>MULT_D</v>
      </c>
      <c r="G241" s="2" t="s">
        <v>524</v>
      </c>
      <c r="H241" s="3" t="str">
        <f t="shared" si="16"/>
        <v>0x00E2</v>
      </c>
      <c r="J241" t="s">
        <v>320</v>
      </c>
      <c r="K241" t="s">
        <v>240</v>
      </c>
    </row>
    <row r="242" spans="1:11" s="5" customFormat="1" hidden="1" x14ac:dyDescent="0.25">
      <c r="A242" s="1">
        <f t="shared" si="12"/>
        <v>22</v>
      </c>
      <c r="B242" s="5">
        <v>16</v>
      </c>
      <c r="C242" s="5" t="str">
        <f t="shared" si="17"/>
        <v>0x16</v>
      </c>
      <c r="D242" s="5" t="s">
        <v>504</v>
      </c>
      <c r="E242" s="5" t="s">
        <v>520</v>
      </c>
      <c r="F242" s="5" t="str">
        <f t="shared" si="14"/>
        <v>DIVT_D</v>
      </c>
      <c r="G242" s="6" t="s">
        <v>525</v>
      </c>
      <c r="H242" s="7" t="str">
        <f t="shared" si="16"/>
        <v>0x00E3</v>
      </c>
      <c r="I242" s="7"/>
      <c r="J242" s="5" t="s">
        <v>320</v>
      </c>
      <c r="K242" s="5" t="s">
        <v>240</v>
      </c>
    </row>
    <row r="243" spans="1:11" hidden="1" x14ac:dyDescent="0.25">
      <c r="A243" s="1">
        <f t="shared" si="12"/>
        <v>22</v>
      </c>
      <c r="B243">
        <v>16</v>
      </c>
      <c r="C243" t="str">
        <f t="shared" si="17"/>
        <v>0x16</v>
      </c>
      <c r="D243" t="s">
        <v>509</v>
      </c>
      <c r="E243" t="s">
        <v>520</v>
      </c>
      <c r="F243" t="str">
        <f t="shared" si="14"/>
        <v>CVTTQ_D</v>
      </c>
      <c r="G243" s="2" t="s">
        <v>527</v>
      </c>
      <c r="H243" s="3" t="str">
        <f t="shared" si="16"/>
        <v>0x00EF</v>
      </c>
      <c r="J243" t="s">
        <v>320</v>
      </c>
      <c r="K243" t="s">
        <v>240</v>
      </c>
    </row>
    <row r="244" spans="1:11" hidden="1" x14ac:dyDescent="0.25">
      <c r="A244" s="1">
        <f t="shared" si="12"/>
        <v>22</v>
      </c>
      <c r="B244">
        <v>16</v>
      </c>
      <c r="C244" t="str">
        <f t="shared" si="17"/>
        <v>0x16</v>
      </c>
      <c r="D244" t="s">
        <v>510</v>
      </c>
      <c r="E244" t="s">
        <v>520</v>
      </c>
      <c r="F244" t="str">
        <f t="shared" si="14"/>
        <v>CVTQS_D</v>
      </c>
      <c r="G244" s="2" t="s">
        <v>528</v>
      </c>
      <c r="H244" s="3" t="str">
        <f t="shared" si="16"/>
        <v>0x00FC</v>
      </c>
      <c r="J244" t="s">
        <v>320</v>
      </c>
      <c r="K244" t="s">
        <v>240</v>
      </c>
    </row>
    <row r="245" spans="1:11" hidden="1" x14ac:dyDescent="0.25">
      <c r="A245" s="1">
        <f t="shared" si="12"/>
        <v>22</v>
      </c>
      <c r="B245">
        <v>16</v>
      </c>
      <c r="C245" t="str">
        <f t="shared" si="17"/>
        <v>0x16</v>
      </c>
      <c r="D245" t="s">
        <v>508</v>
      </c>
      <c r="E245" t="s">
        <v>353</v>
      </c>
      <c r="F245" t="str">
        <f t="shared" si="14"/>
        <v>CVTTS_SU</v>
      </c>
      <c r="G245" s="2" t="s">
        <v>495</v>
      </c>
      <c r="H245" s="3" t="str">
        <f t="shared" si="16"/>
        <v>0x05AC</v>
      </c>
      <c r="J245" t="s">
        <v>320</v>
      </c>
      <c r="K245" t="s">
        <v>240</v>
      </c>
    </row>
    <row r="246" spans="1:11" hidden="1" x14ac:dyDescent="0.25">
      <c r="A246" s="1">
        <f t="shared" si="12"/>
        <v>22</v>
      </c>
      <c r="B246">
        <v>16</v>
      </c>
      <c r="C246" t="str">
        <f t="shared" si="17"/>
        <v>0x16</v>
      </c>
      <c r="D246" t="s">
        <v>509</v>
      </c>
      <c r="E246" t="s">
        <v>529</v>
      </c>
      <c r="F246" t="str">
        <f t="shared" si="14"/>
        <v>CVTTQ_VC</v>
      </c>
      <c r="G246" s="2" t="s">
        <v>432</v>
      </c>
      <c r="H246" s="3" t="str">
        <f t="shared" si="16"/>
        <v>0x012F</v>
      </c>
      <c r="J246" t="s">
        <v>320</v>
      </c>
      <c r="K246" t="s">
        <v>240</v>
      </c>
    </row>
    <row r="247" spans="1:11" hidden="1" x14ac:dyDescent="0.25">
      <c r="A247" s="1">
        <f t="shared" si="12"/>
        <v>22</v>
      </c>
      <c r="B247">
        <v>16</v>
      </c>
      <c r="C247" t="str">
        <f t="shared" si="17"/>
        <v>0x16</v>
      </c>
      <c r="D247" t="s">
        <v>508</v>
      </c>
      <c r="E247" t="s">
        <v>345</v>
      </c>
      <c r="F247" t="str">
        <f t="shared" si="14"/>
        <v>CVTTS_SUC</v>
      </c>
      <c r="G247" s="2" t="s">
        <v>482</v>
      </c>
      <c r="H247" s="3" t="str">
        <f t="shared" si="16"/>
        <v>0x052C</v>
      </c>
      <c r="J247" t="s">
        <v>320</v>
      </c>
      <c r="K247" t="s">
        <v>240</v>
      </c>
    </row>
    <row r="248" spans="1:11" hidden="1" x14ac:dyDescent="0.25">
      <c r="A248" s="1">
        <f t="shared" si="12"/>
        <v>22</v>
      </c>
      <c r="B248">
        <v>16</v>
      </c>
      <c r="C248" t="str">
        <f t="shared" si="17"/>
        <v>0x16</v>
      </c>
      <c r="D248" t="s">
        <v>509</v>
      </c>
      <c r="E248" t="s">
        <v>531</v>
      </c>
      <c r="F248" t="str">
        <f t="shared" si="14"/>
        <v>CVTTQ_VM</v>
      </c>
      <c r="G248" s="2" t="s">
        <v>532</v>
      </c>
      <c r="H248" s="3" t="str">
        <f t="shared" si="16"/>
        <v>0x016F</v>
      </c>
      <c r="J248" t="s">
        <v>320</v>
      </c>
      <c r="K248" t="s">
        <v>240</v>
      </c>
    </row>
    <row r="249" spans="1:11" s="5" customFormat="1" hidden="1" x14ac:dyDescent="0.25">
      <c r="A249" s="1">
        <f t="shared" si="12"/>
        <v>22</v>
      </c>
      <c r="B249" s="5">
        <v>16</v>
      </c>
      <c r="C249" s="5" t="str">
        <f t="shared" si="17"/>
        <v>0x16</v>
      </c>
      <c r="D249" s="5" t="s">
        <v>507</v>
      </c>
      <c r="E249" s="5" t="s">
        <v>331</v>
      </c>
      <c r="F249" s="5" t="str">
        <f t="shared" si="14"/>
        <v>ADDT_U</v>
      </c>
      <c r="G249" s="6" t="s">
        <v>722</v>
      </c>
      <c r="H249" s="7" t="str">
        <f t="shared" si="16"/>
        <v>0x01A0</v>
      </c>
      <c r="I249" s="7"/>
      <c r="J249" s="5" t="s">
        <v>320</v>
      </c>
      <c r="K249" s="5" t="s">
        <v>240</v>
      </c>
    </row>
    <row r="250" spans="1:11" hidden="1" x14ac:dyDescent="0.25">
      <c r="A250" s="1">
        <f t="shared" si="12"/>
        <v>22</v>
      </c>
      <c r="B250">
        <v>16</v>
      </c>
      <c r="C250" t="str">
        <f t="shared" si="17"/>
        <v>0x16</v>
      </c>
      <c r="D250" t="s">
        <v>502</v>
      </c>
      <c r="E250" t="s">
        <v>331</v>
      </c>
      <c r="F250" t="str">
        <f t="shared" si="14"/>
        <v>SUBT_U</v>
      </c>
      <c r="G250" s="2" t="s">
        <v>426</v>
      </c>
      <c r="H250" s="3" t="str">
        <f t="shared" si="16"/>
        <v>0x0121</v>
      </c>
      <c r="J250" t="s">
        <v>320</v>
      </c>
      <c r="K250" t="s">
        <v>240</v>
      </c>
    </row>
    <row r="251" spans="1:11" hidden="1" x14ac:dyDescent="0.25">
      <c r="A251" s="1">
        <f t="shared" si="12"/>
        <v>22</v>
      </c>
      <c r="B251">
        <v>16</v>
      </c>
      <c r="C251" t="str">
        <f t="shared" si="17"/>
        <v>0x16</v>
      </c>
      <c r="D251" t="s">
        <v>503</v>
      </c>
      <c r="E251" t="s">
        <v>331</v>
      </c>
      <c r="F251" t="str">
        <f t="shared" si="14"/>
        <v>MULT_U</v>
      </c>
      <c r="G251" s="2" t="s">
        <v>440</v>
      </c>
      <c r="H251" s="3" t="str">
        <f t="shared" si="16"/>
        <v>0x01A2</v>
      </c>
      <c r="J251" t="s">
        <v>320</v>
      </c>
      <c r="K251" t="s">
        <v>240</v>
      </c>
    </row>
    <row r="252" spans="1:11" s="5" customFormat="1" hidden="1" x14ac:dyDescent="0.25">
      <c r="A252" s="1">
        <f t="shared" si="12"/>
        <v>22</v>
      </c>
      <c r="B252" s="5">
        <v>16</v>
      </c>
      <c r="C252" s="5" t="str">
        <f t="shared" si="17"/>
        <v>0x16</v>
      </c>
      <c r="D252" s="5" t="s">
        <v>504</v>
      </c>
      <c r="E252" s="5" t="s">
        <v>331</v>
      </c>
      <c r="F252" s="5" t="str">
        <f t="shared" si="14"/>
        <v>DIVT_U</v>
      </c>
      <c r="G252" s="6" t="s">
        <v>441</v>
      </c>
      <c r="H252" s="7" t="str">
        <f t="shared" si="16"/>
        <v>0x01A3</v>
      </c>
      <c r="I252" s="7"/>
      <c r="J252" s="5" t="s">
        <v>320</v>
      </c>
      <c r="K252" s="5" t="s">
        <v>240</v>
      </c>
    </row>
    <row r="253" spans="1:11" hidden="1" x14ac:dyDescent="0.25">
      <c r="A253" s="1">
        <f t="shared" si="12"/>
        <v>22</v>
      </c>
      <c r="B253">
        <v>16</v>
      </c>
      <c r="C253" t="str">
        <f t="shared" si="17"/>
        <v>0x16</v>
      </c>
      <c r="D253" t="s">
        <v>508</v>
      </c>
      <c r="E253" t="s">
        <v>358</v>
      </c>
      <c r="F253" t="str">
        <f t="shared" si="14"/>
        <v>CVTTS_SUD</v>
      </c>
      <c r="G253" s="2" t="s">
        <v>557</v>
      </c>
      <c r="H253" s="3" t="str">
        <f t="shared" si="16"/>
        <v>0x05EC</v>
      </c>
      <c r="J253" t="s">
        <v>320</v>
      </c>
      <c r="K253" t="s">
        <v>240</v>
      </c>
    </row>
    <row r="254" spans="1:11" hidden="1" x14ac:dyDescent="0.25">
      <c r="A254" s="1">
        <f t="shared" si="12"/>
        <v>22</v>
      </c>
      <c r="B254">
        <v>16</v>
      </c>
      <c r="C254" t="str">
        <f t="shared" si="17"/>
        <v>0x16</v>
      </c>
      <c r="D254" t="s">
        <v>509</v>
      </c>
      <c r="E254" t="s">
        <v>263</v>
      </c>
      <c r="F254" t="str">
        <f t="shared" si="14"/>
        <v>CVTTQ_V</v>
      </c>
      <c r="G254" s="2" t="s">
        <v>444</v>
      </c>
      <c r="H254" s="3" t="str">
        <f t="shared" si="16"/>
        <v>0x01AF</v>
      </c>
      <c r="J254" t="s">
        <v>320</v>
      </c>
      <c r="K254" t="s">
        <v>240</v>
      </c>
    </row>
    <row r="255" spans="1:11" s="5" customFormat="1" hidden="1" x14ac:dyDescent="0.25">
      <c r="A255" s="1">
        <f t="shared" si="12"/>
        <v>22</v>
      </c>
      <c r="B255" s="5">
        <v>16</v>
      </c>
      <c r="C255" s="5" t="str">
        <f t="shared" si="17"/>
        <v>0x16</v>
      </c>
      <c r="D255" s="5" t="s">
        <v>505</v>
      </c>
      <c r="E255" s="5" t="s">
        <v>336</v>
      </c>
      <c r="F255" s="5" t="str">
        <f t="shared" si="14"/>
        <v>ADDS_UD</v>
      </c>
      <c r="G255" s="6" t="s">
        <v>533</v>
      </c>
      <c r="H255" s="7" t="str">
        <f t="shared" si="16"/>
        <v>0x01C0</v>
      </c>
      <c r="I255" s="7"/>
      <c r="J255" s="5" t="s">
        <v>534</v>
      </c>
      <c r="K255" s="5" t="s">
        <v>240</v>
      </c>
    </row>
    <row r="256" spans="1:11" hidden="1" x14ac:dyDescent="0.25">
      <c r="A256" s="1">
        <f t="shared" si="12"/>
        <v>22</v>
      </c>
      <c r="B256">
        <v>16</v>
      </c>
      <c r="C256" t="str">
        <f t="shared" si="17"/>
        <v>0x16</v>
      </c>
      <c r="D256" t="s">
        <v>499</v>
      </c>
      <c r="E256" t="s">
        <v>336</v>
      </c>
      <c r="F256" t="str">
        <f t="shared" si="14"/>
        <v>SUBS_UD</v>
      </c>
      <c r="G256" s="2" t="s">
        <v>535</v>
      </c>
      <c r="H256" s="3" t="str">
        <f t="shared" si="16"/>
        <v>0x01C1</v>
      </c>
      <c r="J256" t="s">
        <v>320</v>
      </c>
      <c r="K256" t="s">
        <v>240</v>
      </c>
    </row>
    <row r="257" spans="1:11" hidden="1" x14ac:dyDescent="0.25">
      <c r="A257" s="1">
        <f t="shared" ref="A257:A320" si="18">HEX2DEC(B257)</f>
        <v>22</v>
      </c>
      <c r="B257">
        <v>16</v>
      </c>
      <c r="C257" t="str">
        <f t="shared" si="17"/>
        <v>0x16</v>
      </c>
      <c r="D257" t="s">
        <v>500</v>
      </c>
      <c r="E257" t="s">
        <v>336</v>
      </c>
      <c r="F257" t="str">
        <f t="shared" ref="F257:F320" si="19">IF(TRIM(E257)="",TRIM(D257),TRIM(D257)&amp;"_"&amp;TRIM(E257))</f>
        <v>MULS_UD</v>
      </c>
      <c r="G257" s="2" t="s">
        <v>536</v>
      </c>
      <c r="H257" s="3" t="str">
        <f t="shared" si="16"/>
        <v>0x01C2</v>
      </c>
      <c r="J257" t="s">
        <v>320</v>
      </c>
      <c r="K257" t="s">
        <v>240</v>
      </c>
    </row>
    <row r="258" spans="1:11" s="5" customFormat="1" hidden="1" x14ac:dyDescent="0.25">
      <c r="A258" s="1">
        <f t="shared" si="18"/>
        <v>22</v>
      </c>
      <c r="B258" s="5">
        <v>16</v>
      </c>
      <c r="C258" s="5" t="str">
        <f t="shared" si="17"/>
        <v>0x16</v>
      </c>
      <c r="D258" s="5" t="s">
        <v>501</v>
      </c>
      <c r="E258" s="5" t="s">
        <v>336</v>
      </c>
      <c r="F258" s="5" t="str">
        <f t="shared" si="19"/>
        <v>DIVS_UD</v>
      </c>
      <c r="G258" s="6" t="s">
        <v>672</v>
      </c>
      <c r="H258" s="7" t="str">
        <f t="shared" si="16"/>
        <v>0x01C3</v>
      </c>
      <c r="I258" s="7"/>
      <c r="J258" s="5" t="s">
        <v>320</v>
      </c>
      <c r="K258" s="5" t="s">
        <v>240</v>
      </c>
    </row>
    <row r="259" spans="1:11" s="5" customFormat="1" hidden="1" x14ac:dyDescent="0.25">
      <c r="A259" s="1">
        <f t="shared" si="18"/>
        <v>22</v>
      </c>
      <c r="B259" s="5">
        <v>16</v>
      </c>
      <c r="C259" s="5" t="str">
        <f t="shared" si="17"/>
        <v>0x16</v>
      </c>
      <c r="D259" s="5" t="s">
        <v>507</v>
      </c>
      <c r="E259" s="5" t="s">
        <v>336</v>
      </c>
      <c r="F259" s="5" t="str">
        <f t="shared" si="19"/>
        <v>ADDT_UD</v>
      </c>
      <c r="G259" s="6" t="s">
        <v>673</v>
      </c>
      <c r="H259" s="7" t="str">
        <f t="shared" si="16"/>
        <v>0x05C3</v>
      </c>
      <c r="I259" s="7"/>
      <c r="J259" s="5" t="s">
        <v>320</v>
      </c>
      <c r="K259" s="5" t="s">
        <v>240</v>
      </c>
    </row>
    <row r="260" spans="1:11" hidden="1" x14ac:dyDescent="0.25">
      <c r="A260" s="1">
        <f t="shared" si="18"/>
        <v>22</v>
      </c>
      <c r="B260">
        <v>16</v>
      </c>
      <c r="C260" t="str">
        <f t="shared" si="17"/>
        <v>0x16</v>
      </c>
      <c r="D260" t="s">
        <v>502</v>
      </c>
      <c r="E260" t="s">
        <v>336</v>
      </c>
      <c r="F260" t="str">
        <f t="shared" si="19"/>
        <v>SUBT_UD</v>
      </c>
      <c r="G260" s="2" t="s">
        <v>674</v>
      </c>
      <c r="H260" s="3" t="str">
        <f t="shared" si="16"/>
        <v>0x07C3</v>
      </c>
      <c r="J260" t="s">
        <v>320</v>
      </c>
      <c r="K260" t="s">
        <v>240</v>
      </c>
    </row>
    <row r="261" spans="1:11" hidden="1" x14ac:dyDescent="0.25">
      <c r="A261" s="1">
        <f t="shared" si="18"/>
        <v>22</v>
      </c>
      <c r="B261">
        <v>16</v>
      </c>
      <c r="C261" t="str">
        <f t="shared" si="17"/>
        <v>0x16</v>
      </c>
      <c r="D261" t="s">
        <v>503</v>
      </c>
      <c r="E261" t="s">
        <v>336</v>
      </c>
      <c r="F261" t="str">
        <f t="shared" si="19"/>
        <v>MULT_UD</v>
      </c>
      <c r="G261" s="2" t="s">
        <v>537</v>
      </c>
      <c r="H261" s="3" t="str">
        <f t="shared" si="16"/>
        <v>0x01E2</v>
      </c>
      <c r="J261" t="s">
        <v>320</v>
      </c>
      <c r="K261" t="s">
        <v>240</v>
      </c>
    </row>
    <row r="262" spans="1:11" s="5" customFormat="1" hidden="1" x14ac:dyDescent="0.25">
      <c r="A262" s="1">
        <f t="shared" si="18"/>
        <v>22</v>
      </c>
      <c r="B262" s="5">
        <v>16</v>
      </c>
      <c r="C262" s="5" t="str">
        <f t="shared" si="17"/>
        <v>0x16</v>
      </c>
      <c r="D262" s="5" t="s">
        <v>504</v>
      </c>
      <c r="E262" s="5" t="s">
        <v>336</v>
      </c>
      <c r="F262" s="5" t="str">
        <f t="shared" si="19"/>
        <v>DIVT_UD</v>
      </c>
      <c r="G262" s="6" t="s">
        <v>538</v>
      </c>
      <c r="H262" s="7" t="str">
        <f t="shared" si="16"/>
        <v>0x01E3</v>
      </c>
      <c r="I262" s="7"/>
      <c r="J262" s="5" t="s">
        <v>320</v>
      </c>
      <c r="K262" s="5" t="s">
        <v>240</v>
      </c>
    </row>
    <row r="263" spans="1:11" hidden="1" x14ac:dyDescent="0.25">
      <c r="A263" s="1">
        <f t="shared" si="18"/>
        <v>22</v>
      </c>
      <c r="B263">
        <v>16</v>
      </c>
      <c r="C263" t="str">
        <f t="shared" si="17"/>
        <v>0x16</v>
      </c>
      <c r="D263" t="s">
        <v>508</v>
      </c>
      <c r="E263" t="s">
        <v>367</v>
      </c>
      <c r="F263" t="str">
        <f t="shared" si="19"/>
        <v>CVTTS_SUI</v>
      </c>
      <c r="G263" s="2" t="s">
        <v>571</v>
      </c>
      <c r="H263" s="3" t="str">
        <f t="shared" si="16"/>
        <v>0x07AC</v>
      </c>
      <c r="J263" t="s">
        <v>320</v>
      </c>
      <c r="K263" t="s">
        <v>240</v>
      </c>
    </row>
    <row r="264" spans="1:11" hidden="1" x14ac:dyDescent="0.25">
      <c r="A264" s="1">
        <f t="shared" si="18"/>
        <v>22</v>
      </c>
      <c r="B264">
        <v>16</v>
      </c>
      <c r="C264" t="str">
        <f t="shared" si="17"/>
        <v>0x16</v>
      </c>
      <c r="D264" t="s">
        <v>509</v>
      </c>
      <c r="E264" t="s">
        <v>540</v>
      </c>
      <c r="F264" t="str">
        <f t="shared" si="19"/>
        <v>CVTTQ_VD</v>
      </c>
      <c r="G264" s="2" t="s">
        <v>316</v>
      </c>
      <c r="H264" s="3" t="str">
        <f t="shared" si="16"/>
        <v>0x00AF</v>
      </c>
      <c r="J264" t="s">
        <v>320</v>
      </c>
      <c r="K264" t="s">
        <v>240</v>
      </c>
    </row>
    <row r="265" spans="1:11" hidden="1" x14ac:dyDescent="0.25">
      <c r="A265" s="1">
        <f t="shared" si="18"/>
        <v>22</v>
      </c>
      <c r="B265">
        <v>16</v>
      </c>
      <c r="C265" t="str">
        <f t="shared" si="17"/>
        <v>0x16</v>
      </c>
      <c r="D265" t="s">
        <v>541</v>
      </c>
      <c r="F265" t="str">
        <f t="shared" si="19"/>
        <v>CVTST</v>
      </c>
      <c r="G265" s="2" t="s">
        <v>542</v>
      </c>
      <c r="H265" s="3" t="str">
        <f t="shared" si="16"/>
        <v>0x02AC</v>
      </c>
      <c r="J265" t="s">
        <v>320</v>
      </c>
      <c r="K265" t="s">
        <v>240</v>
      </c>
    </row>
    <row r="266" spans="1:11" hidden="1" x14ac:dyDescent="0.25">
      <c r="A266" s="1">
        <f t="shared" si="18"/>
        <v>22</v>
      </c>
      <c r="B266">
        <v>16</v>
      </c>
      <c r="C266" t="str">
        <f t="shared" si="17"/>
        <v>0x16</v>
      </c>
      <c r="D266" t="s">
        <v>508</v>
      </c>
      <c r="E266" t="s">
        <v>361</v>
      </c>
      <c r="F266" t="str">
        <f t="shared" si="19"/>
        <v>CVTTS_SUIC</v>
      </c>
      <c r="G266" s="2" t="s">
        <v>561</v>
      </c>
      <c r="H266" s="3" t="str">
        <f t="shared" si="16"/>
        <v>0x072C</v>
      </c>
      <c r="J266" t="s">
        <v>320</v>
      </c>
      <c r="K266" t="s">
        <v>240</v>
      </c>
    </row>
    <row r="267" spans="1:11" hidden="1" x14ac:dyDescent="0.25">
      <c r="A267" s="1">
        <f t="shared" si="18"/>
        <v>22</v>
      </c>
      <c r="B267">
        <v>16</v>
      </c>
      <c r="C267" t="str">
        <f t="shared" si="17"/>
        <v>0x16</v>
      </c>
      <c r="D267" t="s">
        <v>509</v>
      </c>
      <c r="E267" t="s">
        <v>484</v>
      </c>
      <c r="F267" t="str">
        <f t="shared" si="19"/>
        <v>CVTTQ_SVC</v>
      </c>
      <c r="G267" s="2" t="s">
        <v>485</v>
      </c>
      <c r="H267" s="3" t="str">
        <f t="shared" si="16"/>
        <v>0x052F</v>
      </c>
      <c r="J267" t="s">
        <v>320</v>
      </c>
      <c r="K267" t="s">
        <v>240</v>
      </c>
    </row>
    <row r="268" spans="1:11" hidden="1" x14ac:dyDescent="0.25">
      <c r="A268" s="1">
        <f t="shared" si="18"/>
        <v>22</v>
      </c>
      <c r="B268">
        <v>16</v>
      </c>
      <c r="C268" t="str">
        <f t="shared" si="17"/>
        <v>0x16</v>
      </c>
      <c r="D268" t="s">
        <v>508</v>
      </c>
      <c r="E268" t="s">
        <v>370</v>
      </c>
      <c r="F268" t="str">
        <f t="shared" si="19"/>
        <v>CVTTS_SUID</v>
      </c>
      <c r="G268" s="2" t="s">
        <v>582</v>
      </c>
      <c r="H268" s="3" t="str">
        <f t="shared" si="16"/>
        <v>0x07EC</v>
      </c>
      <c r="J268" t="s">
        <v>320</v>
      </c>
      <c r="K268" t="s">
        <v>240</v>
      </c>
    </row>
    <row r="269" spans="1:11" hidden="1" x14ac:dyDescent="0.25">
      <c r="A269" s="1">
        <f t="shared" si="18"/>
        <v>22</v>
      </c>
      <c r="B269">
        <v>16</v>
      </c>
      <c r="C269" t="str">
        <f t="shared" si="17"/>
        <v>0x16</v>
      </c>
      <c r="D269" t="s">
        <v>509</v>
      </c>
      <c r="E269" t="s">
        <v>544</v>
      </c>
      <c r="F269" t="str">
        <f t="shared" si="19"/>
        <v>CVTTQ_SVM</v>
      </c>
      <c r="G269" s="2" t="s">
        <v>545</v>
      </c>
      <c r="H269" s="3" t="str">
        <f t="shared" si="16"/>
        <v>0x056F</v>
      </c>
      <c r="J269" t="s">
        <v>320</v>
      </c>
      <c r="K269" t="s">
        <v>240</v>
      </c>
    </row>
    <row r="270" spans="1:11" s="5" customFormat="1" hidden="1" x14ac:dyDescent="0.25">
      <c r="A270" s="1">
        <f t="shared" si="18"/>
        <v>22</v>
      </c>
      <c r="B270" s="5">
        <v>16</v>
      </c>
      <c r="C270" s="5" t="str">
        <f t="shared" si="17"/>
        <v>0x16</v>
      </c>
      <c r="D270" s="5" t="s">
        <v>507</v>
      </c>
      <c r="E270" s="5" t="s">
        <v>353</v>
      </c>
      <c r="F270" s="5" t="str">
        <f t="shared" si="19"/>
        <v>ADDT_SU</v>
      </c>
      <c r="G270" s="6" t="s">
        <v>491</v>
      </c>
      <c r="H270" s="7" t="str">
        <f t="shared" si="16"/>
        <v>0x05A0</v>
      </c>
      <c r="I270" s="7"/>
      <c r="J270" s="5" t="s">
        <v>320</v>
      </c>
      <c r="K270" s="5" t="s">
        <v>240</v>
      </c>
    </row>
    <row r="271" spans="1:11" hidden="1" x14ac:dyDescent="0.25">
      <c r="A271" s="1">
        <f t="shared" si="18"/>
        <v>22</v>
      </c>
      <c r="B271">
        <v>16</v>
      </c>
      <c r="C271" t="str">
        <f t="shared" si="17"/>
        <v>0x16</v>
      </c>
      <c r="D271" t="s">
        <v>502</v>
      </c>
      <c r="E271" t="s">
        <v>353</v>
      </c>
      <c r="F271" t="str">
        <f t="shared" si="19"/>
        <v>SUBT_SU</v>
      </c>
      <c r="G271" s="2" t="s">
        <v>492</v>
      </c>
      <c r="H271" s="3" t="str">
        <f t="shared" si="16"/>
        <v>0x05A1</v>
      </c>
      <c r="J271" t="s">
        <v>320</v>
      </c>
      <c r="K271" t="s">
        <v>240</v>
      </c>
    </row>
    <row r="272" spans="1:11" hidden="1" x14ac:dyDescent="0.25">
      <c r="A272" s="1">
        <f t="shared" si="18"/>
        <v>22</v>
      </c>
      <c r="B272">
        <v>16</v>
      </c>
      <c r="C272" t="str">
        <f t="shared" si="17"/>
        <v>0x16</v>
      </c>
      <c r="D272" t="s">
        <v>503</v>
      </c>
      <c r="E272" t="s">
        <v>353</v>
      </c>
      <c r="F272" t="str">
        <f t="shared" si="19"/>
        <v>MULT_SU</v>
      </c>
      <c r="G272" s="2" t="s">
        <v>493</v>
      </c>
      <c r="H272" s="3" t="str">
        <f t="shared" si="16"/>
        <v>0x05A2</v>
      </c>
      <c r="J272" t="s">
        <v>320</v>
      </c>
      <c r="K272" t="s">
        <v>240</v>
      </c>
    </row>
    <row r="273" spans="1:11" s="5" customFormat="1" hidden="1" x14ac:dyDescent="0.25">
      <c r="A273" s="1">
        <f t="shared" si="18"/>
        <v>22</v>
      </c>
      <c r="B273" s="5">
        <v>16</v>
      </c>
      <c r="C273" s="5" t="str">
        <f t="shared" si="17"/>
        <v>0x16</v>
      </c>
      <c r="D273" s="5" t="s">
        <v>504</v>
      </c>
      <c r="E273" s="5" t="s">
        <v>353</v>
      </c>
      <c r="F273" s="5" t="str">
        <f t="shared" si="19"/>
        <v>DIVT_SU</v>
      </c>
      <c r="G273" s="6" t="s">
        <v>494</v>
      </c>
      <c r="H273" s="7" t="str">
        <f t="shared" si="16"/>
        <v>0x05A3</v>
      </c>
      <c r="I273" s="7"/>
      <c r="J273" s="5" t="s">
        <v>320</v>
      </c>
      <c r="K273" s="5" t="s">
        <v>240</v>
      </c>
    </row>
    <row r="274" spans="1:11" s="5" customFormat="1" hidden="1" x14ac:dyDescent="0.25">
      <c r="A274" s="1">
        <f t="shared" si="18"/>
        <v>22</v>
      </c>
      <c r="B274" s="5">
        <v>16</v>
      </c>
      <c r="C274" s="5" t="str">
        <f t="shared" si="17"/>
        <v>0x16</v>
      </c>
      <c r="D274" s="5" t="s">
        <v>515</v>
      </c>
      <c r="E274" s="5" t="s">
        <v>353</v>
      </c>
      <c r="F274" s="5" t="str">
        <f t="shared" si="19"/>
        <v>CMPTUN_SU</v>
      </c>
      <c r="G274" s="6" t="s">
        <v>546</v>
      </c>
      <c r="H274" s="7" t="str">
        <f t="shared" si="16"/>
        <v>0x05A4</v>
      </c>
      <c r="I274" s="7"/>
      <c r="J274" s="5" t="s">
        <v>320</v>
      </c>
      <c r="K274" s="5" t="s">
        <v>240</v>
      </c>
    </row>
    <row r="275" spans="1:11" s="5" customFormat="1" hidden="1" x14ac:dyDescent="0.25">
      <c r="A275" s="1">
        <f t="shared" si="18"/>
        <v>22</v>
      </c>
      <c r="B275" s="5">
        <v>16</v>
      </c>
      <c r="C275" s="5" t="str">
        <f t="shared" si="17"/>
        <v>0x16</v>
      </c>
      <c r="D275" s="5" t="s">
        <v>517</v>
      </c>
      <c r="E275" s="5" t="s">
        <v>353</v>
      </c>
      <c r="F275" s="5" t="str">
        <f t="shared" si="19"/>
        <v>CMPTEQ_SU</v>
      </c>
      <c r="G275" s="6" t="s">
        <v>547</v>
      </c>
      <c r="H275" s="7" t="str">
        <f t="shared" si="16"/>
        <v>0x05A5</v>
      </c>
      <c r="I275" s="7"/>
      <c r="J275" s="5" t="s">
        <v>320</v>
      </c>
      <c r="K275" s="5" t="s">
        <v>240</v>
      </c>
    </row>
    <row r="276" spans="1:11" s="5" customFormat="1" hidden="1" x14ac:dyDescent="0.25">
      <c r="A276" s="1">
        <f t="shared" si="18"/>
        <v>22</v>
      </c>
      <c r="B276" s="5">
        <v>16</v>
      </c>
      <c r="C276" s="5" t="str">
        <f t="shared" si="17"/>
        <v>0x16</v>
      </c>
      <c r="D276" s="5" t="s">
        <v>518</v>
      </c>
      <c r="E276" s="5" t="s">
        <v>353</v>
      </c>
      <c r="F276" s="5" t="str">
        <f t="shared" si="19"/>
        <v>CMPTLT_SU</v>
      </c>
      <c r="G276" s="6" t="s">
        <v>548</v>
      </c>
      <c r="H276" s="7" t="str">
        <f t="shared" si="16"/>
        <v>0x05A6</v>
      </c>
      <c r="I276" s="7"/>
      <c r="J276" s="5" t="s">
        <v>320</v>
      </c>
      <c r="K276" s="5" t="s">
        <v>240</v>
      </c>
    </row>
    <row r="277" spans="1:11" s="5" customFormat="1" hidden="1" x14ac:dyDescent="0.25">
      <c r="A277" s="1">
        <f t="shared" si="18"/>
        <v>22</v>
      </c>
      <c r="B277" s="5">
        <v>16</v>
      </c>
      <c r="C277" s="5" t="str">
        <f t="shared" si="17"/>
        <v>0x16</v>
      </c>
      <c r="D277" s="5" t="s">
        <v>519</v>
      </c>
      <c r="E277" s="5" t="s">
        <v>353</v>
      </c>
      <c r="F277" s="5" t="str">
        <f t="shared" si="19"/>
        <v>CMPTLE_SU</v>
      </c>
      <c r="G277" s="6" t="s">
        <v>549</v>
      </c>
      <c r="H277" s="7" t="str">
        <f t="shared" si="16"/>
        <v>0x05A7</v>
      </c>
      <c r="I277" s="7"/>
      <c r="J277" s="5" t="s">
        <v>320</v>
      </c>
      <c r="K277" s="5" t="s">
        <v>240</v>
      </c>
    </row>
    <row r="278" spans="1:11" hidden="1" x14ac:dyDescent="0.25">
      <c r="A278" s="1">
        <f t="shared" si="18"/>
        <v>22</v>
      </c>
      <c r="B278">
        <v>16</v>
      </c>
      <c r="C278" t="str">
        <f t="shared" si="17"/>
        <v>0x16</v>
      </c>
      <c r="D278" t="s">
        <v>508</v>
      </c>
      <c r="E278" t="s">
        <v>364</v>
      </c>
      <c r="F278" t="str">
        <f t="shared" si="19"/>
        <v>CVTTS_SUIM</v>
      </c>
      <c r="G278" s="2" t="s">
        <v>564</v>
      </c>
      <c r="H278" s="3" t="str">
        <f t="shared" si="16"/>
        <v>0x076C</v>
      </c>
      <c r="J278" t="s">
        <v>320</v>
      </c>
      <c r="K278" t="s">
        <v>240</v>
      </c>
    </row>
    <row r="279" spans="1:11" hidden="1" x14ac:dyDescent="0.25">
      <c r="A279" s="1">
        <f t="shared" si="18"/>
        <v>22</v>
      </c>
      <c r="B279">
        <v>16</v>
      </c>
      <c r="C279" t="str">
        <f t="shared" si="17"/>
        <v>0x16</v>
      </c>
      <c r="D279" t="s">
        <v>509</v>
      </c>
      <c r="E279" t="s">
        <v>497</v>
      </c>
      <c r="F279" t="str">
        <f t="shared" si="19"/>
        <v>CVTTQ_SV</v>
      </c>
      <c r="G279" s="2" t="s">
        <v>498</v>
      </c>
      <c r="H279" s="3" t="str">
        <f t="shared" si="16"/>
        <v>0x05AF</v>
      </c>
      <c r="J279" t="s">
        <v>320</v>
      </c>
      <c r="K279" t="s">
        <v>240</v>
      </c>
    </row>
    <row r="280" spans="1:11" s="5" customFormat="1" hidden="1" x14ac:dyDescent="0.25">
      <c r="A280" s="1">
        <f t="shared" si="18"/>
        <v>22</v>
      </c>
      <c r="B280" s="5">
        <v>16</v>
      </c>
      <c r="C280" s="5" t="str">
        <f t="shared" si="17"/>
        <v>0x16</v>
      </c>
      <c r="D280" s="5" t="s">
        <v>505</v>
      </c>
      <c r="E280" s="5" t="s">
        <v>358</v>
      </c>
      <c r="F280" s="5" t="str">
        <f t="shared" si="19"/>
        <v>ADDS_SUD</v>
      </c>
      <c r="G280" s="6" t="s">
        <v>550</v>
      </c>
      <c r="H280" s="7" t="str">
        <f t="shared" si="16"/>
        <v>0x05C0</v>
      </c>
      <c r="I280" s="7"/>
      <c r="J280" s="5" t="s">
        <v>534</v>
      </c>
      <c r="K280" s="5" t="s">
        <v>240</v>
      </c>
    </row>
    <row r="281" spans="1:11" hidden="1" x14ac:dyDescent="0.25">
      <c r="A281" s="1">
        <f t="shared" si="18"/>
        <v>22</v>
      </c>
      <c r="B281">
        <v>16</v>
      </c>
      <c r="C281" t="str">
        <f t="shared" si="17"/>
        <v>0x16</v>
      </c>
      <c r="D281" t="s">
        <v>499</v>
      </c>
      <c r="E281" t="s">
        <v>358</v>
      </c>
      <c r="F281" t="str">
        <f t="shared" si="19"/>
        <v>SUBS_SUD</v>
      </c>
      <c r="G281" s="2" t="s">
        <v>551</v>
      </c>
      <c r="H281" s="3" t="str">
        <f t="shared" si="16"/>
        <v>0x05C1</v>
      </c>
      <c r="J281" t="s">
        <v>320</v>
      </c>
      <c r="K281" t="s">
        <v>240</v>
      </c>
    </row>
    <row r="282" spans="1:11" hidden="1" x14ac:dyDescent="0.25">
      <c r="A282" s="1">
        <f t="shared" si="18"/>
        <v>22</v>
      </c>
      <c r="B282">
        <v>16</v>
      </c>
      <c r="C282" t="str">
        <f t="shared" si="17"/>
        <v>0x16</v>
      </c>
      <c r="D282" t="s">
        <v>500</v>
      </c>
      <c r="E282" t="s">
        <v>358</v>
      </c>
      <c r="F282" t="str">
        <f t="shared" si="19"/>
        <v>MULS_SUD</v>
      </c>
      <c r="G282" s="2" t="s">
        <v>552</v>
      </c>
      <c r="H282" s="3" t="str">
        <f t="shared" ref="H282:H344" si="20">"0x"&amp;RIGHT("0000"&amp;UPPER(SUBSTITUTE(TRIM(G282),"0X","")),4)</f>
        <v>0x05C2</v>
      </c>
      <c r="J282" t="s">
        <v>320</v>
      </c>
      <c r="K282" t="s">
        <v>240</v>
      </c>
    </row>
    <row r="283" spans="1:11" s="5" customFormat="1" hidden="1" x14ac:dyDescent="0.25">
      <c r="A283" s="1">
        <f t="shared" si="18"/>
        <v>22</v>
      </c>
      <c r="B283" s="5">
        <v>16</v>
      </c>
      <c r="C283" s="5" t="str">
        <f t="shared" si="17"/>
        <v>0x16</v>
      </c>
      <c r="D283" s="5" t="s">
        <v>501</v>
      </c>
      <c r="E283" s="5" t="s">
        <v>358</v>
      </c>
      <c r="F283" s="5" t="str">
        <f t="shared" si="19"/>
        <v>DIVS_SUD</v>
      </c>
      <c r="G283" s="6" t="s">
        <v>673</v>
      </c>
      <c r="H283" s="7" t="str">
        <f t="shared" si="20"/>
        <v>0x05C3</v>
      </c>
      <c r="I283" s="7"/>
      <c r="J283" s="5" t="s">
        <v>320</v>
      </c>
      <c r="K283" s="5" t="s">
        <v>240</v>
      </c>
    </row>
    <row r="284" spans="1:11" s="5" customFormat="1" hidden="1" x14ac:dyDescent="0.25">
      <c r="A284" s="1">
        <f t="shared" si="18"/>
        <v>22</v>
      </c>
      <c r="B284" s="5">
        <v>16</v>
      </c>
      <c r="C284" s="5" t="str">
        <f t="shared" si="17"/>
        <v>0x16</v>
      </c>
      <c r="D284" s="5" t="s">
        <v>507</v>
      </c>
      <c r="E284" s="5" t="s">
        <v>358</v>
      </c>
      <c r="F284" s="5" t="str">
        <f t="shared" si="19"/>
        <v>ADDT_SUD</v>
      </c>
      <c r="G284" s="6" t="s">
        <v>553</v>
      </c>
      <c r="H284" s="7" t="str">
        <f t="shared" si="20"/>
        <v>0x05E0</v>
      </c>
      <c r="I284" s="7"/>
      <c r="J284" s="5" t="s">
        <v>320</v>
      </c>
      <c r="K284" s="5" t="s">
        <v>240</v>
      </c>
    </row>
    <row r="285" spans="1:11" hidden="1" x14ac:dyDescent="0.25">
      <c r="A285" s="1">
        <f t="shared" si="18"/>
        <v>22</v>
      </c>
      <c r="B285">
        <v>16</v>
      </c>
      <c r="C285" t="str">
        <f t="shared" si="17"/>
        <v>0x16</v>
      </c>
      <c r="D285" t="s">
        <v>502</v>
      </c>
      <c r="E285" t="s">
        <v>358</v>
      </c>
      <c r="F285" t="str">
        <f t="shared" si="19"/>
        <v>SUBT_SUD</v>
      </c>
      <c r="G285" s="2" t="s">
        <v>554</v>
      </c>
      <c r="H285" s="3" t="str">
        <f t="shared" si="20"/>
        <v>0x05E1</v>
      </c>
      <c r="J285" t="s">
        <v>320</v>
      </c>
      <c r="K285" t="s">
        <v>240</v>
      </c>
    </row>
    <row r="286" spans="1:11" hidden="1" x14ac:dyDescent="0.25">
      <c r="A286" s="1">
        <f t="shared" si="18"/>
        <v>22</v>
      </c>
      <c r="B286">
        <v>16</v>
      </c>
      <c r="C286" t="str">
        <f t="shared" si="17"/>
        <v>0x16</v>
      </c>
      <c r="D286" t="s">
        <v>503</v>
      </c>
      <c r="E286" t="s">
        <v>358</v>
      </c>
      <c r="F286" t="str">
        <f t="shared" si="19"/>
        <v>MULT_SUD</v>
      </c>
      <c r="G286" s="2" t="s">
        <v>555</v>
      </c>
      <c r="H286" s="3" t="str">
        <f t="shared" si="20"/>
        <v>0x05E2</v>
      </c>
      <c r="J286" t="s">
        <v>320</v>
      </c>
      <c r="K286" t="s">
        <v>240</v>
      </c>
    </row>
    <row r="287" spans="1:11" s="5" customFormat="1" hidden="1" x14ac:dyDescent="0.25">
      <c r="A287" s="1">
        <f t="shared" si="18"/>
        <v>22</v>
      </c>
      <c r="B287" s="5">
        <v>16</v>
      </c>
      <c r="C287" s="5" t="str">
        <f t="shared" ref="C287:C350" si="21">"0x"&amp;TEXT(DEC2HEX(A287),"00")</f>
        <v>0x16</v>
      </c>
      <c r="D287" s="5" t="s">
        <v>504</v>
      </c>
      <c r="E287" s="5" t="s">
        <v>358</v>
      </c>
      <c r="F287" s="5" t="str">
        <f t="shared" si="19"/>
        <v>DIVT_SUD</v>
      </c>
      <c r="G287" s="6" t="s">
        <v>556</v>
      </c>
      <c r="H287" s="7" t="str">
        <f t="shared" si="20"/>
        <v>0x05E3</v>
      </c>
      <c r="I287" s="7"/>
      <c r="J287" s="5" t="s">
        <v>320</v>
      </c>
      <c r="K287" s="5" t="s">
        <v>240</v>
      </c>
    </row>
    <row r="288" spans="1:11" hidden="1" x14ac:dyDescent="0.25">
      <c r="A288" s="1">
        <f t="shared" si="18"/>
        <v>22</v>
      </c>
      <c r="B288">
        <v>16</v>
      </c>
      <c r="C288" t="str">
        <f t="shared" si="21"/>
        <v>0x16</v>
      </c>
      <c r="D288" t="s">
        <v>508</v>
      </c>
      <c r="E288" t="s">
        <v>350</v>
      </c>
      <c r="F288" t="str">
        <f t="shared" si="19"/>
        <v>CVTTS_SUM</v>
      </c>
      <c r="G288" s="2" t="s">
        <v>543</v>
      </c>
      <c r="H288" s="3" t="str">
        <f t="shared" si="20"/>
        <v>0x056C</v>
      </c>
      <c r="J288" t="s">
        <v>320</v>
      </c>
      <c r="K288" t="s">
        <v>240</v>
      </c>
    </row>
    <row r="289" spans="1:11" hidden="1" x14ac:dyDescent="0.25">
      <c r="A289" s="1">
        <f t="shared" si="18"/>
        <v>22</v>
      </c>
      <c r="B289">
        <v>16</v>
      </c>
      <c r="C289" t="str">
        <f t="shared" si="21"/>
        <v>0x16</v>
      </c>
      <c r="D289" t="s">
        <v>509</v>
      </c>
      <c r="E289" t="s">
        <v>558</v>
      </c>
      <c r="F289" t="str">
        <f t="shared" si="19"/>
        <v>CVTTQ_SVD</v>
      </c>
      <c r="G289" s="2" t="s">
        <v>559</v>
      </c>
      <c r="H289" s="3" t="str">
        <f t="shared" si="20"/>
        <v>0x05EF</v>
      </c>
      <c r="J289" t="s">
        <v>320</v>
      </c>
      <c r="K289" t="s">
        <v>240</v>
      </c>
    </row>
    <row r="290" spans="1:11" hidden="1" x14ac:dyDescent="0.25">
      <c r="A290" s="1">
        <f t="shared" si="18"/>
        <v>22</v>
      </c>
      <c r="B290">
        <v>16</v>
      </c>
      <c r="C290" t="str">
        <f t="shared" si="21"/>
        <v>0x16</v>
      </c>
      <c r="D290" t="s">
        <v>541</v>
      </c>
      <c r="E290" t="s">
        <v>342</v>
      </c>
      <c r="F290" t="str">
        <f t="shared" si="19"/>
        <v>CVTST_S</v>
      </c>
      <c r="G290" s="2" t="s">
        <v>560</v>
      </c>
      <c r="H290" s="3" t="str">
        <f t="shared" si="20"/>
        <v>0x06AC</v>
      </c>
      <c r="J290" t="s">
        <v>320</v>
      </c>
      <c r="K290" t="s">
        <v>240</v>
      </c>
    </row>
    <row r="291" spans="1:11" hidden="1" x14ac:dyDescent="0.25">
      <c r="A291" s="1">
        <f t="shared" si="18"/>
        <v>22</v>
      </c>
      <c r="B291">
        <v>16</v>
      </c>
      <c r="C291" t="str">
        <f t="shared" si="21"/>
        <v>0x16</v>
      </c>
      <c r="D291" t="s">
        <v>508</v>
      </c>
      <c r="E291" t="s">
        <v>331</v>
      </c>
      <c r="F291" t="str">
        <f t="shared" si="19"/>
        <v>CVTTS_U</v>
      </c>
      <c r="G291" s="2" t="s">
        <v>442</v>
      </c>
      <c r="H291" s="3" t="str">
        <f t="shared" si="20"/>
        <v>0x01AC</v>
      </c>
      <c r="J291" t="s">
        <v>320</v>
      </c>
      <c r="K291" t="s">
        <v>240</v>
      </c>
    </row>
    <row r="292" spans="1:11" hidden="1" x14ac:dyDescent="0.25">
      <c r="A292" s="1">
        <f t="shared" si="18"/>
        <v>22</v>
      </c>
      <c r="B292">
        <v>16</v>
      </c>
      <c r="C292" t="str">
        <f t="shared" si="21"/>
        <v>0x16</v>
      </c>
      <c r="D292" t="s">
        <v>509</v>
      </c>
      <c r="E292" t="s">
        <v>562</v>
      </c>
      <c r="F292" t="str">
        <f t="shared" si="19"/>
        <v>CVTTQ_SVIC</v>
      </c>
      <c r="G292" s="2" t="s">
        <v>563</v>
      </c>
      <c r="H292" s="3" t="str">
        <f t="shared" si="20"/>
        <v>0x072F</v>
      </c>
      <c r="J292" t="s">
        <v>320</v>
      </c>
      <c r="K292" t="s">
        <v>240</v>
      </c>
    </row>
    <row r="293" spans="1:11" hidden="1" x14ac:dyDescent="0.25">
      <c r="A293" s="1">
        <f t="shared" si="18"/>
        <v>22</v>
      </c>
      <c r="B293">
        <v>16</v>
      </c>
      <c r="C293" t="str">
        <f t="shared" si="21"/>
        <v>0x16</v>
      </c>
      <c r="D293" t="s">
        <v>508</v>
      </c>
      <c r="E293" t="s">
        <v>319</v>
      </c>
      <c r="F293" t="str">
        <f t="shared" si="19"/>
        <v>CVTTS_UC</v>
      </c>
      <c r="G293" s="2" t="s">
        <v>429</v>
      </c>
      <c r="H293" s="3" t="str">
        <f t="shared" si="20"/>
        <v>0x012C</v>
      </c>
      <c r="J293" t="s">
        <v>320</v>
      </c>
      <c r="K293" t="s">
        <v>240</v>
      </c>
    </row>
    <row r="294" spans="1:11" hidden="1" x14ac:dyDescent="0.25">
      <c r="A294" s="1">
        <f t="shared" si="18"/>
        <v>22</v>
      </c>
      <c r="B294">
        <v>16</v>
      </c>
      <c r="C294" t="str">
        <f t="shared" si="21"/>
        <v>0x16</v>
      </c>
      <c r="D294" t="s">
        <v>509</v>
      </c>
      <c r="E294" t="s">
        <v>565</v>
      </c>
      <c r="F294" t="str">
        <f t="shared" si="19"/>
        <v>CVTTQ_SVIM</v>
      </c>
      <c r="G294" s="2" t="s">
        <v>566</v>
      </c>
      <c r="H294" s="3" t="str">
        <f t="shared" si="20"/>
        <v>0x076F</v>
      </c>
      <c r="J294" t="s">
        <v>320</v>
      </c>
      <c r="K294" t="s">
        <v>240</v>
      </c>
    </row>
    <row r="295" spans="1:11" s="5" customFormat="1" hidden="1" x14ac:dyDescent="0.25">
      <c r="A295" s="1">
        <f t="shared" si="18"/>
        <v>22</v>
      </c>
      <c r="B295" s="5">
        <v>16</v>
      </c>
      <c r="C295" s="5" t="str">
        <f t="shared" si="21"/>
        <v>0x16</v>
      </c>
      <c r="D295" s="5" t="s">
        <v>507</v>
      </c>
      <c r="E295" s="5" t="s">
        <v>367</v>
      </c>
      <c r="F295" s="5" t="str">
        <f t="shared" si="19"/>
        <v>ADDT_SUI</v>
      </c>
      <c r="G295" s="6" t="s">
        <v>567</v>
      </c>
      <c r="H295" s="7" t="str">
        <f t="shared" si="20"/>
        <v>0x07A0</v>
      </c>
      <c r="I295" s="7"/>
      <c r="J295" s="5" t="s">
        <v>320</v>
      </c>
      <c r="K295" s="5" t="s">
        <v>240</v>
      </c>
    </row>
    <row r="296" spans="1:11" hidden="1" x14ac:dyDescent="0.25">
      <c r="A296" s="1">
        <f t="shared" si="18"/>
        <v>22</v>
      </c>
      <c r="B296">
        <v>16</v>
      </c>
      <c r="C296" t="str">
        <f t="shared" si="21"/>
        <v>0x16</v>
      </c>
      <c r="D296" t="s">
        <v>502</v>
      </c>
      <c r="E296" t="s">
        <v>367</v>
      </c>
      <c r="F296" t="str">
        <f t="shared" si="19"/>
        <v>SUBT_SUI</v>
      </c>
      <c r="G296" s="2" t="s">
        <v>568</v>
      </c>
      <c r="H296" s="3" t="str">
        <f t="shared" si="20"/>
        <v>0x07A1</v>
      </c>
      <c r="J296" t="s">
        <v>320</v>
      </c>
      <c r="K296" t="s">
        <v>240</v>
      </c>
    </row>
    <row r="297" spans="1:11" hidden="1" x14ac:dyDescent="0.25">
      <c r="A297" s="1">
        <f t="shared" si="18"/>
        <v>22</v>
      </c>
      <c r="B297">
        <v>16</v>
      </c>
      <c r="C297" t="str">
        <f t="shared" si="21"/>
        <v>0x16</v>
      </c>
      <c r="D297" t="s">
        <v>503</v>
      </c>
      <c r="E297" t="s">
        <v>367</v>
      </c>
      <c r="F297" t="str">
        <f t="shared" si="19"/>
        <v>MULT_SUI</v>
      </c>
      <c r="G297" s="2" t="s">
        <v>569</v>
      </c>
      <c r="H297" s="3" t="str">
        <f t="shared" si="20"/>
        <v>0x07A2</v>
      </c>
      <c r="J297" t="s">
        <v>320</v>
      </c>
      <c r="K297" t="s">
        <v>240</v>
      </c>
    </row>
    <row r="298" spans="1:11" s="5" customFormat="1" hidden="1" x14ac:dyDescent="0.25">
      <c r="A298" s="1">
        <f t="shared" si="18"/>
        <v>22</v>
      </c>
      <c r="B298" s="5">
        <v>16</v>
      </c>
      <c r="C298" s="5" t="str">
        <f t="shared" si="21"/>
        <v>0x16</v>
      </c>
      <c r="D298" s="5" t="s">
        <v>504</v>
      </c>
      <c r="E298" s="5" t="s">
        <v>367</v>
      </c>
      <c r="F298" s="5" t="str">
        <f t="shared" si="19"/>
        <v>DIVT_SUI</v>
      </c>
      <c r="G298" s="6" t="s">
        <v>570</v>
      </c>
      <c r="H298" s="7" t="str">
        <f t="shared" si="20"/>
        <v>0x07A3</v>
      </c>
      <c r="I298" s="7"/>
      <c r="J298" s="5" t="s">
        <v>320</v>
      </c>
      <c r="K298" s="5" t="s">
        <v>240</v>
      </c>
    </row>
    <row r="299" spans="1:11" hidden="1" x14ac:dyDescent="0.25">
      <c r="A299" s="1">
        <f t="shared" si="18"/>
        <v>22</v>
      </c>
      <c r="B299">
        <v>16</v>
      </c>
      <c r="C299" t="str">
        <f t="shared" si="21"/>
        <v>0x16</v>
      </c>
      <c r="D299" t="s">
        <v>508</v>
      </c>
      <c r="E299" t="s">
        <v>336</v>
      </c>
      <c r="F299" t="str">
        <f t="shared" si="19"/>
        <v>CVTTS_UD</v>
      </c>
      <c r="G299" s="2" t="s">
        <v>539</v>
      </c>
      <c r="H299" s="3" t="str">
        <f t="shared" si="20"/>
        <v>0x01EC</v>
      </c>
      <c r="J299" t="s">
        <v>320</v>
      </c>
      <c r="K299" t="s">
        <v>240</v>
      </c>
    </row>
    <row r="300" spans="1:11" hidden="1" x14ac:dyDescent="0.25">
      <c r="A300" s="1">
        <f t="shared" si="18"/>
        <v>22</v>
      </c>
      <c r="B300">
        <v>16</v>
      </c>
      <c r="C300" t="str">
        <f t="shared" si="21"/>
        <v>0x16</v>
      </c>
      <c r="D300" t="s">
        <v>509</v>
      </c>
      <c r="E300" t="s">
        <v>572</v>
      </c>
      <c r="F300" t="str">
        <f t="shared" si="19"/>
        <v>CVTTQ_SVI</v>
      </c>
      <c r="G300" s="2" t="s">
        <v>573</v>
      </c>
      <c r="H300" s="3" t="str">
        <f t="shared" si="20"/>
        <v>0x07AF</v>
      </c>
      <c r="J300" t="s">
        <v>320</v>
      </c>
      <c r="K300" t="s">
        <v>240</v>
      </c>
    </row>
    <row r="301" spans="1:11" hidden="1" x14ac:dyDescent="0.25">
      <c r="A301" s="1">
        <f t="shared" si="18"/>
        <v>22</v>
      </c>
      <c r="B301">
        <v>16</v>
      </c>
      <c r="C301" t="str">
        <f t="shared" si="21"/>
        <v>0x16</v>
      </c>
      <c r="D301" t="s">
        <v>511</v>
      </c>
      <c r="E301" t="s">
        <v>367</v>
      </c>
      <c r="F301" t="str">
        <f t="shared" si="19"/>
        <v>CVTQT_SUI</v>
      </c>
      <c r="G301" s="2" t="s">
        <v>574</v>
      </c>
      <c r="H301" s="3" t="str">
        <f t="shared" si="20"/>
        <v>0x07BC</v>
      </c>
      <c r="J301" t="s">
        <v>320</v>
      </c>
      <c r="K301" t="s">
        <v>240</v>
      </c>
    </row>
    <row r="302" spans="1:11" s="5" customFormat="1" hidden="1" x14ac:dyDescent="0.25">
      <c r="A302" s="1">
        <f t="shared" si="18"/>
        <v>22</v>
      </c>
      <c r="B302" s="5">
        <v>16</v>
      </c>
      <c r="C302" s="5" t="str">
        <f t="shared" si="21"/>
        <v>0x16</v>
      </c>
      <c r="D302" s="5" t="s">
        <v>505</v>
      </c>
      <c r="E302" s="5" t="s">
        <v>370</v>
      </c>
      <c r="F302" s="5" t="str">
        <f t="shared" si="19"/>
        <v>ADDS_SUID</v>
      </c>
      <c r="G302" s="6" t="s">
        <v>575</v>
      </c>
      <c r="H302" s="7" t="str">
        <f t="shared" si="20"/>
        <v>0x07C0</v>
      </c>
      <c r="I302" s="7"/>
      <c r="J302" s="5" t="s">
        <v>534</v>
      </c>
      <c r="K302" s="5" t="s">
        <v>240</v>
      </c>
    </row>
    <row r="303" spans="1:11" hidden="1" x14ac:dyDescent="0.25">
      <c r="A303" s="1">
        <f t="shared" si="18"/>
        <v>22</v>
      </c>
      <c r="B303">
        <v>16</v>
      </c>
      <c r="C303" t="str">
        <f t="shared" si="21"/>
        <v>0x16</v>
      </c>
      <c r="D303" t="s">
        <v>499</v>
      </c>
      <c r="E303" t="s">
        <v>370</v>
      </c>
      <c r="F303" t="str">
        <f t="shared" si="19"/>
        <v>SUBS_SUID</v>
      </c>
      <c r="G303" s="2" t="s">
        <v>576</v>
      </c>
      <c r="H303" s="3" t="str">
        <f t="shared" si="20"/>
        <v>0x07C1</v>
      </c>
      <c r="J303" t="s">
        <v>320</v>
      </c>
      <c r="K303" t="s">
        <v>240</v>
      </c>
    </row>
    <row r="304" spans="1:11" hidden="1" x14ac:dyDescent="0.25">
      <c r="A304" s="1">
        <f t="shared" si="18"/>
        <v>22</v>
      </c>
      <c r="B304">
        <v>16</v>
      </c>
      <c r="C304" t="str">
        <f t="shared" si="21"/>
        <v>0x16</v>
      </c>
      <c r="D304" t="s">
        <v>500</v>
      </c>
      <c r="E304" t="s">
        <v>370</v>
      </c>
      <c r="F304" t="str">
        <f t="shared" si="19"/>
        <v>MULS_SUID</v>
      </c>
      <c r="G304" s="2" t="s">
        <v>577</v>
      </c>
      <c r="H304" s="3" t="str">
        <f t="shared" si="20"/>
        <v>0x07C2</v>
      </c>
      <c r="J304" t="s">
        <v>320</v>
      </c>
      <c r="K304" t="s">
        <v>240</v>
      </c>
    </row>
    <row r="305" spans="1:11" s="5" customFormat="1" hidden="1" x14ac:dyDescent="0.25">
      <c r="A305" s="1">
        <f t="shared" si="18"/>
        <v>22</v>
      </c>
      <c r="B305" s="5">
        <v>16</v>
      </c>
      <c r="C305" s="5" t="str">
        <f t="shared" si="21"/>
        <v>0x16</v>
      </c>
      <c r="D305" s="5" t="s">
        <v>501</v>
      </c>
      <c r="E305" s="5" t="s">
        <v>370</v>
      </c>
      <c r="F305" s="5" t="str">
        <f t="shared" si="19"/>
        <v>DIVS_SUID</v>
      </c>
      <c r="G305" s="6" t="s">
        <v>674</v>
      </c>
      <c r="H305" s="7" t="str">
        <f t="shared" si="20"/>
        <v>0x07C3</v>
      </c>
      <c r="I305" s="7"/>
      <c r="J305" s="5" t="s">
        <v>320</v>
      </c>
      <c r="K305" s="5" t="s">
        <v>240</v>
      </c>
    </row>
    <row r="306" spans="1:11" s="5" customFormat="1" hidden="1" x14ac:dyDescent="0.25">
      <c r="A306" s="1">
        <f t="shared" si="18"/>
        <v>22</v>
      </c>
      <c r="B306" s="5">
        <v>16</v>
      </c>
      <c r="C306" s="5" t="str">
        <f t="shared" si="21"/>
        <v>0x16</v>
      </c>
      <c r="D306" s="5" t="s">
        <v>507</v>
      </c>
      <c r="E306" s="5" t="s">
        <v>370</v>
      </c>
      <c r="F306" s="5" t="str">
        <f t="shared" si="19"/>
        <v>ADDT_SUID</v>
      </c>
      <c r="G306" s="6" t="s">
        <v>578</v>
      </c>
      <c r="H306" s="7" t="str">
        <f t="shared" si="20"/>
        <v>0x07E0</v>
      </c>
      <c r="I306" s="7"/>
      <c r="J306" s="5" t="s">
        <v>320</v>
      </c>
      <c r="K306" s="5" t="s">
        <v>240</v>
      </c>
    </row>
    <row r="307" spans="1:11" hidden="1" x14ac:dyDescent="0.25">
      <c r="A307" s="1">
        <f t="shared" si="18"/>
        <v>22</v>
      </c>
      <c r="B307">
        <v>16</v>
      </c>
      <c r="C307" t="str">
        <f t="shared" si="21"/>
        <v>0x16</v>
      </c>
      <c r="D307" t="s">
        <v>502</v>
      </c>
      <c r="E307" t="s">
        <v>370</v>
      </c>
      <c r="F307" t="str">
        <f t="shared" si="19"/>
        <v>SUBT_SUID</v>
      </c>
      <c r="G307" s="2" t="s">
        <v>579</v>
      </c>
      <c r="H307" s="3" t="str">
        <f t="shared" si="20"/>
        <v>0x07E1</v>
      </c>
      <c r="J307" t="s">
        <v>320</v>
      </c>
      <c r="K307" t="s">
        <v>240</v>
      </c>
    </row>
    <row r="308" spans="1:11" hidden="1" x14ac:dyDescent="0.25">
      <c r="A308" s="1">
        <f t="shared" si="18"/>
        <v>22</v>
      </c>
      <c r="B308">
        <v>16</v>
      </c>
      <c r="C308" t="str">
        <f t="shared" si="21"/>
        <v>0x16</v>
      </c>
      <c r="D308" t="s">
        <v>503</v>
      </c>
      <c r="E308" t="s">
        <v>370</v>
      </c>
      <c r="F308" t="str">
        <f t="shared" si="19"/>
        <v>MULT_SUID</v>
      </c>
      <c r="G308" s="2" t="s">
        <v>580</v>
      </c>
      <c r="H308" s="3" t="str">
        <f t="shared" si="20"/>
        <v>0x07E2</v>
      </c>
      <c r="J308" t="s">
        <v>320</v>
      </c>
      <c r="K308" t="s">
        <v>240</v>
      </c>
    </row>
    <row r="309" spans="1:11" s="5" customFormat="1" hidden="1" x14ac:dyDescent="0.25">
      <c r="A309" s="1">
        <f t="shared" si="18"/>
        <v>22</v>
      </c>
      <c r="B309" s="5">
        <v>16</v>
      </c>
      <c r="C309" s="5" t="str">
        <f t="shared" si="21"/>
        <v>0x16</v>
      </c>
      <c r="D309" s="5" t="s">
        <v>504</v>
      </c>
      <c r="E309" s="5" t="s">
        <v>370</v>
      </c>
      <c r="F309" s="5" t="str">
        <f t="shared" si="19"/>
        <v>DIVT_SUID</v>
      </c>
      <c r="G309" s="6" t="s">
        <v>581</v>
      </c>
      <c r="H309" s="7" t="str">
        <f t="shared" si="20"/>
        <v>0x07E3</v>
      </c>
      <c r="I309" s="7"/>
      <c r="J309" s="5" t="s">
        <v>320</v>
      </c>
      <c r="K309" s="5" t="s">
        <v>240</v>
      </c>
    </row>
    <row r="310" spans="1:11" hidden="1" x14ac:dyDescent="0.25">
      <c r="A310" s="1">
        <f t="shared" si="18"/>
        <v>22</v>
      </c>
      <c r="B310">
        <v>16</v>
      </c>
      <c r="C310" t="str">
        <f t="shared" si="21"/>
        <v>0x16</v>
      </c>
      <c r="D310" t="s">
        <v>508</v>
      </c>
      <c r="E310" t="s">
        <v>328</v>
      </c>
      <c r="F310" t="str">
        <f t="shared" si="19"/>
        <v>CVTTS_UM</v>
      </c>
      <c r="G310" s="2" t="s">
        <v>530</v>
      </c>
      <c r="H310" s="3" t="str">
        <f t="shared" si="20"/>
        <v>0x016C</v>
      </c>
      <c r="J310" t="s">
        <v>320</v>
      </c>
      <c r="K310" t="s">
        <v>240</v>
      </c>
    </row>
    <row r="311" spans="1:11" hidden="1" x14ac:dyDescent="0.25">
      <c r="A311" s="1">
        <f t="shared" si="18"/>
        <v>22</v>
      </c>
      <c r="B311">
        <v>16</v>
      </c>
      <c r="C311" t="str">
        <f t="shared" si="21"/>
        <v>0x16</v>
      </c>
      <c r="D311" t="s">
        <v>509</v>
      </c>
      <c r="E311" t="s">
        <v>583</v>
      </c>
      <c r="F311" t="str">
        <f t="shared" si="19"/>
        <v>CVTTQ_SVID</v>
      </c>
      <c r="G311" s="2" t="s">
        <v>584</v>
      </c>
      <c r="H311" s="3" t="str">
        <f t="shared" si="20"/>
        <v>0x07EF</v>
      </c>
      <c r="J311" t="s">
        <v>320</v>
      </c>
      <c r="K311" t="s">
        <v>240</v>
      </c>
    </row>
    <row r="312" spans="1:11" hidden="1" x14ac:dyDescent="0.25">
      <c r="A312" s="1">
        <f t="shared" si="18"/>
        <v>23</v>
      </c>
      <c r="B312">
        <v>17</v>
      </c>
      <c r="C312" t="str">
        <f t="shared" si="21"/>
        <v>0x17</v>
      </c>
      <c r="D312" t="s">
        <v>585</v>
      </c>
      <c r="E312" t="s">
        <v>217</v>
      </c>
      <c r="F312" t="str">
        <f t="shared" si="19"/>
        <v>CVTLQ</v>
      </c>
      <c r="G312" s="2" t="s">
        <v>677</v>
      </c>
      <c r="H312" s="3" t="str">
        <f t="shared" si="20"/>
        <v>0x0010</v>
      </c>
      <c r="J312" t="s">
        <v>14</v>
      </c>
      <c r="K312" t="s">
        <v>240</v>
      </c>
    </row>
    <row r="313" spans="1:11" s="5" customFormat="1" hidden="1" x14ac:dyDescent="0.25">
      <c r="A313" s="1">
        <f t="shared" si="18"/>
        <v>23</v>
      </c>
      <c r="B313" s="5">
        <v>17</v>
      </c>
      <c r="C313" s="5" t="str">
        <f t="shared" si="21"/>
        <v>0x17</v>
      </c>
      <c r="D313" s="5" t="s">
        <v>586</v>
      </c>
      <c r="E313" s="5" t="s">
        <v>217</v>
      </c>
      <c r="F313" s="5" t="str">
        <f t="shared" si="19"/>
        <v>CPYS</v>
      </c>
      <c r="G313" s="6" t="s">
        <v>383</v>
      </c>
      <c r="H313" s="7" t="str">
        <f t="shared" si="20"/>
        <v>0x0020</v>
      </c>
      <c r="I313" s="7"/>
      <c r="J313" s="5" t="s">
        <v>14</v>
      </c>
      <c r="K313" s="5" t="s">
        <v>240</v>
      </c>
    </row>
    <row r="314" spans="1:11" s="5" customFormat="1" hidden="1" x14ac:dyDescent="0.25">
      <c r="A314" s="1">
        <f t="shared" si="18"/>
        <v>23</v>
      </c>
      <c r="B314" s="5">
        <v>17</v>
      </c>
      <c r="C314" s="5" t="str">
        <f t="shared" si="21"/>
        <v>0x17</v>
      </c>
      <c r="D314" s="5" t="s">
        <v>587</v>
      </c>
      <c r="E314" s="5" t="s">
        <v>217</v>
      </c>
      <c r="F314" s="5" t="str">
        <f t="shared" si="19"/>
        <v>CPYSN</v>
      </c>
      <c r="G314" s="6" t="s">
        <v>385</v>
      </c>
      <c r="H314" s="7" t="str">
        <f t="shared" si="20"/>
        <v>0x0021</v>
      </c>
      <c r="I314" s="7"/>
      <c r="J314" s="5" t="s">
        <v>14</v>
      </c>
      <c r="K314" s="5" t="s">
        <v>240</v>
      </c>
    </row>
    <row r="315" spans="1:11" s="5" customFormat="1" hidden="1" x14ac:dyDescent="0.25">
      <c r="A315" s="1">
        <f t="shared" si="18"/>
        <v>23</v>
      </c>
      <c r="B315" s="5">
        <v>17</v>
      </c>
      <c r="C315" s="5" t="str">
        <f t="shared" si="21"/>
        <v>0x17</v>
      </c>
      <c r="D315" s="5" t="s">
        <v>588</v>
      </c>
      <c r="E315" s="5" t="s">
        <v>217</v>
      </c>
      <c r="F315" s="5" t="str">
        <f t="shared" si="19"/>
        <v>CPYSE</v>
      </c>
      <c r="G315" s="6" t="s">
        <v>387</v>
      </c>
      <c r="H315" s="7" t="str">
        <f t="shared" si="20"/>
        <v>0x0022</v>
      </c>
      <c r="I315" s="7"/>
      <c r="J315" s="5" t="s">
        <v>14</v>
      </c>
      <c r="K315" s="5" t="s">
        <v>240</v>
      </c>
    </row>
    <row r="316" spans="1:11" s="5" customFormat="1" hidden="1" x14ac:dyDescent="0.25">
      <c r="A316" s="1">
        <f t="shared" si="18"/>
        <v>23</v>
      </c>
      <c r="B316" s="5">
        <v>17</v>
      </c>
      <c r="C316" s="5" t="str">
        <f t="shared" si="21"/>
        <v>0x17</v>
      </c>
      <c r="D316" s="5" t="s">
        <v>589</v>
      </c>
      <c r="E316" s="5" t="s">
        <v>217</v>
      </c>
      <c r="F316" s="5" t="str">
        <f t="shared" si="19"/>
        <v>MT_FPCR</v>
      </c>
      <c r="G316" s="6" t="s">
        <v>678</v>
      </c>
      <c r="H316" s="7" t="str">
        <f t="shared" si="20"/>
        <v>0x0024</v>
      </c>
      <c r="I316" s="7"/>
      <c r="J316" s="5" t="s">
        <v>14</v>
      </c>
      <c r="K316" s="5" t="s">
        <v>240</v>
      </c>
    </row>
    <row r="317" spans="1:11" s="5" customFormat="1" hidden="1" x14ac:dyDescent="0.25">
      <c r="A317" s="1">
        <f t="shared" si="18"/>
        <v>23</v>
      </c>
      <c r="B317" s="5">
        <v>17</v>
      </c>
      <c r="C317" s="5" t="str">
        <f t="shared" si="21"/>
        <v>0x17</v>
      </c>
      <c r="D317" s="5" t="s">
        <v>590</v>
      </c>
      <c r="E317" s="5" t="s">
        <v>217</v>
      </c>
      <c r="F317" s="5" t="str">
        <f t="shared" si="19"/>
        <v>MF_FPCR</v>
      </c>
      <c r="G317" s="6" t="s">
        <v>679</v>
      </c>
      <c r="H317" s="7" t="str">
        <f t="shared" si="20"/>
        <v>0x0025</v>
      </c>
      <c r="I317" s="7"/>
      <c r="J317" s="5" t="s">
        <v>14</v>
      </c>
      <c r="K317" s="5" t="s">
        <v>240</v>
      </c>
    </row>
    <row r="318" spans="1:11" hidden="1" x14ac:dyDescent="0.25">
      <c r="A318" s="1">
        <f t="shared" si="18"/>
        <v>23</v>
      </c>
      <c r="B318">
        <v>17</v>
      </c>
      <c r="C318" t="str">
        <f t="shared" si="21"/>
        <v>0x17</v>
      </c>
      <c r="D318" t="s">
        <v>591</v>
      </c>
      <c r="E318" t="s">
        <v>217</v>
      </c>
      <c r="F318" t="str">
        <f t="shared" si="19"/>
        <v>CVTQL</v>
      </c>
      <c r="G318" s="2" t="s">
        <v>680</v>
      </c>
      <c r="H318" s="3" t="str">
        <f t="shared" si="20"/>
        <v>0x0030</v>
      </c>
      <c r="J318" t="s">
        <v>14</v>
      </c>
      <c r="K318" t="s">
        <v>240</v>
      </c>
    </row>
    <row r="319" spans="1:11" hidden="1" x14ac:dyDescent="0.25">
      <c r="A319" s="1">
        <f t="shared" si="18"/>
        <v>23</v>
      </c>
      <c r="B319">
        <v>17</v>
      </c>
      <c r="C319" t="str">
        <f t="shared" si="21"/>
        <v>0x17</v>
      </c>
      <c r="D319" t="s">
        <v>592</v>
      </c>
      <c r="E319" t="s">
        <v>217</v>
      </c>
      <c r="F319" t="str">
        <f t="shared" si="19"/>
        <v>FCMOVEQ</v>
      </c>
      <c r="G319" s="2" t="s">
        <v>593</v>
      </c>
      <c r="H319" s="3" t="str">
        <f t="shared" si="20"/>
        <v>0x002A</v>
      </c>
      <c r="J319" t="s">
        <v>14</v>
      </c>
      <c r="K319" t="s">
        <v>240</v>
      </c>
    </row>
    <row r="320" spans="1:11" hidden="1" x14ac:dyDescent="0.25">
      <c r="A320" s="1">
        <f t="shared" si="18"/>
        <v>23</v>
      </c>
      <c r="B320">
        <v>17</v>
      </c>
      <c r="C320" t="str">
        <f t="shared" si="21"/>
        <v>0x17</v>
      </c>
      <c r="D320" t="s">
        <v>594</v>
      </c>
      <c r="E320" t="s">
        <v>217</v>
      </c>
      <c r="F320" t="str">
        <f t="shared" si="19"/>
        <v>FCMOVNE</v>
      </c>
      <c r="G320" s="2" t="s">
        <v>595</v>
      </c>
      <c r="H320" s="3" t="str">
        <f t="shared" si="20"/>
        <v>0x002B</v>
      </c>
      <c r="J320" t="s">
        <v>14</v>
      </c>
      <c r="K320" t="s">
        <v>240</v>
      </c>
    </row>
    <row r="321" spans="1:11" hidden="1" x14ac:dyDescent="0.25">
      <c r="A321" s="1">
        <f t="shared" ref="A321:A384" si="22">HEX2DEC(B321)</f>
        <v>23</v>
      </c>
      <c r="B321">
        <v>17</v>
      </c>
      <c r="C321" t="str">
        <f t="shared" si="21"/>
        <v>0x17</v>
      </c>
      <c r="D321" t="s">
        <v>596</v>
      </c>
      <c r="E321" t="s">
        <v>217</v>
      </c>
      <c r="F321" t="str">
        <f t="shared" ref="F321:F384" si="23">IF(TRIM(E321)="",TRIM(D321),TRIM(D321)&amp;"_"&amp;TRIM(E321))</f>
        <v>FCMOVLT</v>
      </c>
      <c r="G321" s="2" t="s">
        <v>391</v>
      </c>
      <c r="H321" s="3" t="str">
        <f t="shared" si="20"/>
        <v>0x002C</v>
      </c>
      <c r="J321" t="s">
        <v>14</v>
      </c>
      <c r="K321" t="s">
        <v>240</v>
      </c>
    </row>
    <row r="322" spans="1:11" hidden="1" x14ac:dyDescent="0.25">
      <c r="A322" s="1">
        <f t="shared" si="22"/>
        <v>23</v>
      </c>
      <c r="B322">
        <v>17</v>
      </c>
      <c r="C322" t="str">
        <f t="shared" si="21"/>
        <v>0x17</v>
      </c>
      <c r="D322" t="s">
        <v>597</v>
      </c>
      <c r="E322" t="s">
        <v>217</v>
      </c>
      <c r="F322" t="str">
        <f t="shared" si="23"/>
        <v>FCMOVGE</v>
      </c>
      <c r="G322" s="2" t="s">
        <v>393</v>
      </c>
      <c r="H322" s="3" t="str">
        <f t="shared" si="20"/>
        <v>0x002D</v>
      </c>
      <c r="J322" t="s">
        <v>14</v>
      </c>
      <c r="K322" t="s">
        <v>240</v>
      </c>
    </row>
    <row r="323" spans="1:11" hidden="1" x14ac:dyDescent="0.25">
      <c r="A323" s="1">
        <f t="shared" si="22"/>
        <v>23</v>
      </c>
      <c r="B323">
        <v>17</v>
      </c>
      <c r="C323" t="str">
        <f t="shared" si="21"/>
        <v>0x17</v>
      </c>
      <c r="D323" t="s">
        <v>598</v>
      </c>
      <c r="E323" t="s">
        <v>217</v>
      </c>
      <c r="F323" t="str">
        <f t="shared" si="23"/>
        <v>FCMOVLE</v>
      </c>
      <c r="G323" s="2" t="s">
        <v>599</v>
      </c>
      <c r="H323" s="3" t="str">
        <f t="shared" si="20"/>
        <v>0x002E</v>
      </c>
      <c r="J323" t="s">
        <v>14</v>
      </c>
      <c r="K323" t="s">
        <v>240</v>
      </c>
    </row>
    <row r="324" spans="1:11" hidden="1" x14ac:dyDescent="0.25">
      <c r="A324" s="1">
        <f t="shared" si="22"/>
        <v>23</v>
      </c>
      <c r="B324">
        <v>17</v>
      </c>
      <c r="C324" t="str">
        <f t="shared" si="21"/>
        <v>0x17</v>
      </c>
      <c r="D324" t="s">
        <v>600</v>
      </c>
      <c r="E324" t="s">
        <v>217</v>
      </c>
      <c r="F324" t="str">
        <f t="shared" si="23"/>
        <v>FCMOVGT</v>
      </c>
      <c r="G324" s="2" t="s">
        <v>645</v>
      </c>
      <c r="H324" s="3" t="str">
        <f t="shared" si="20"/>
        <v>0x002F</v>
      </c>
      <c r="J324" t="s">
        <v>14</v>
      </c>
      <c r="K324" t="s">
        <v>240</v>
      </c>
    </row>
    <row r="325" spans="1:11" s="5" customFormat="1" hidden="1" x14ac:dyDescent="0.25">
      <c r="A325" s="1">
        <f t="shared" si="22"/>
        <v>24</v>
      </c>
      <c r="B325" s="5">
        <v>18</v>
      </c>
      <c r="C325" s="5" t="str">
        <f t="shared" si="21"/>
        <v>0x18</v>
      </c>
      <c r="D325" s="5" t="s">
        <v>601</v>
      </c>
      <c r="E325" s="5" t="s">
        <v>217</v>
      </c>
      <c r="F325" s="5" t="str">
        <f t="shared" si="23"/>
        <v>TRAPB</v>
      </c>
      <c r="G325" s="6" t="s">
        <v>667</v>
      </c>
      <c r="H325" s="7" t="str">
        <f t="shared" si="20"/>
        <v>0x0000</v>
      </c>
      <c r="I325" s="7"/>
      <c r="J325" s="5" t="s">
        <v>14</v>
      </c>
      <c r="K325" s="5" t="s">
        <v>602</v>
      </c>
    </row>
    <row r="326" spans="1:11" hidden="1" x14ac:dyDescent="0.25">
      <c r="A326" s="1">
        <f t="shared" si="22"/>
        <v>24</v>
      </c>
      <c r="B326">
        <v>18</v>
      </c>
      <c r="C326" t="str">
        <f t="shared" si="21"/>
        <v>0x18</v>
      </c>
      <c r="D326" t="s">
        <v>603</v>
      </c>
      <c r="E326" t="s">
        <v>217</v>
      </c>
      <c r="F326" t="str">
        <f t="shared" si="23"/>
        <v>EXCB</v>
      </c>
      <c r="G326" s="2" t="s">
        <v>681</v>
      </c>
      <c r="H326" s="3" t="str">
        <f t="shared" si="20"/>
        <v>0x0400</v>
      </c>
      <c r="J326" t="s">
        <v>14</v>
      </c>
      <c r="K326" t="s">
        <v>602</v>
      </c>
    </row>
    <row r="327" spans="1:11" hidden="1" x14ac:dyDescent="0.25">
      <c r="A327" s="1">
        <f t="shared" si="22"/>
        <v>24</v>
      </c>
      <c r="B327">
        <v>18</v>
      </c>
      <c r="C327" t="str">
        <f t="shared" si="21"/>
        <v>0x18</v>
      </c>
      <c r="D327" t="s">
        <v>604</v>
      </c>
      <c r="E327" t="s">
        <v>217</v>
      </c>
      <c r="F327" t="str">
        <f t="shared" si="23"/>
        <v>MB</v>
      </c>
      <c r="G327" s="2" t="s">
        <v>682</v>
      </c>
      <c r="H327" s="3" t="str">
        <f t="shared" si="20"/>
        <v>0x4000</v>
      </c>
      <c r="J327" t="s">
        <v>14</v>
      </c>
      <c r="K327" t="s">
        <v>155</v>
      </c>
    </row>
    <row r="328" spans="1:11" s="5" customFormat="1" hidden="1" x14ac:dyDescent="0.25">
      <c r="A328" s="1">
        <f t="shared" si="22"/>
        <v>24</v>
      </c>
      <c r="B328" s="5">
        <v>18</v>
      </c>
      <c r="C328" s="5" t="str">
        <f t="shared" si="21"/>
        <v>0x18</v>
      </c>
      <c r="D328" s="5" t="s">
        <v>605</v>
      </c>
      <c r="E328" s="5" t="s">
        <v>217</v>
      </c>
      <c r="F328" s="5" t="str">
        <f t="shared" si="23"/>
        <v>WMB</v>
      </c>
      <c r="G328" s="6" t="s">
        <v>683</v>
      </c>
      <c r="H328" s="7" t="str">
        <f t="shared" si="20"/>
        <v>0x4400</v>
      </c>
      <c r="I328" s="7"/>
      <c r="J328" s="5" t="s">
        <v>14</v>
      </c>
      <c r="K328" s="5" t="s">
        <v>602</v>
      </c>
    </row>
    <row r="329" spans="1:11" s="5" customFormat="1" hidden="1" x14ac:dyDescent="0.25">
      <c r="A329" s="1">
        <f t="shared" si="22"/>
        <v>24</v>
      </c>
      <c r="B329" s="5">
        <v>18</v>
      </c>
      <c r="C329" s="5" t="str">
        <f t="shared" si="21"/>
        <v>0x18</v>
      </c>
      <c r="D329" s="5" t="s">
        <v>606</v>
      </c>
      <c r="E329" s="5" t="s">
        <v>217</v>
      </c>
      <c r="F329" s="5" t="str">
        <f t="shared" si="23"/>
        <v>FETCH</v>
      </c>
      <c r="G329" s="6" t="s">
        <v>684</v>
      </c>
      <c r="H329" s="7" t="str">
        <f t="shared" si="20"/>
        <v>0x8000</v>
      </c>
      <c r="I329" s="7"/>
      <c r="J329" s="5" t="s">
        <v>14</v>
      </c>
      <c r="K329" s="5" t="s">
        <v>230</v>
      </c>
    </row>
    <row r="330" spans="1:11" s="5" customFormat="1" hidden="1" x14ac:dyDescent="0.25">
      <c r="A330" s="1">
        <f t="shared" si="22"/>
        <v>24</v>
      </c>
      <c r="B330" s="5">
        <v>18</v>
      </c>
      <c r="C330" s="5" t="str">
        <f t="shared" si="21"/>
        <v>0x18</v>
      </c>
      <c r="D330" s="5" t="s">
        <v>607</v>
      </c>
      <c r="E330" s="5" t="s">
        <v>217</v>
      </c>
      <c r="F330" s="5" t="str">
        <f t="shared" si="23"/>
        <v>FETCH_M</v>
      </c>
      <c r="G330" s="6" t="s">
        <v>608</v>
      </c>
      <c r="H330" s="7" t="str">
        <f t="shared" si="20"/>
        <v>0xA000</v>
      </c>
      <c r="I330" s="7"/>
      <c r="J330" s="5" t="s">
        <v>14</v>
      </c>
      <c r="K330" s="5" t="s">
        <v>230</v>
      </c>
    </row>
    <row r="331" spans="1:11" s="5" customFormat="1" hidden="1" x14ac:dyDescent="0.25">
      <c r="A331" s="1">
        <f t="shared" si="22"/>
        <v>24</v>
      </c>
      <c r="B331" s="5">
        <v>18</v>
      </c>
      <c r="C331" s="5" t="str">
        <f t="shared" si="21"/>
        <v>0x18</v>
      </c>
      <c r="D331" s="5" t="s">
        <v>609</v>
      </c>
      <c r="E331" s="5" t="s">
        <v>217</v>
      </c>
      <c r="F331" s="5" t="str">
        <f t="shared" si="23"/>
        <v>RPCC</v>
      </c>
      <c r="G331" s="6" t="s">
        <v>610</v>
      </c>
      <c r="H331" s="7" t="str">
        <f t="shared" si="20"/>
        <v>0xC000</v>
      </c>
      <c r="I331" s="7"/>
      <c r="J331" s="5" t="s">
        <v>14</v>
      </c>
      <c r="K331" s="5" t="s">
        <v>602</v>
      </c>
    </row>
    <row r="332" spans="1:11" hidden="1" x14ac:dyDescent="0.25">
      <c r="A332" s="1">
        <f t="shared" si="22"/>
        <v>24</v>
      </c>
      <c r="B332">
        <v>18</v>
      </c>
      <c r="C332" t="str">
        <f t="shared" si="21"/>
        <v>0x18</v>
      </c>
      <c r="D332" t="s">
        <v>611</v>
      </c>
      <c r="E332" t="s">
        <v>217</v>
      </c>
      <c r="F332" t="str">
        <f t="shared" si="23"/>
        <v>RC</v>
      </c>
      <c r="G332" s="2" t="s">
        <v>612</v>
      </c>
      <c r="H332" s="3" t="str">
        <f t="shared" si="20"/>
        <v>0xE000</v>
      </c>
      <c r="J332" t="s">
        <v>14</v>
      </c>
      <c r="K332" t="s">
        <v>602</v>
      </c>
    </row>
    <row r="333" spans="1:11" hidden="1" x14ac:dyDescent="0.25">
      <c r="A333" s="1">
        <f t="shared" si="22"/>
        <v>24</v>
      </c>
      <c r="B333">
        <v>18</v>
      </c>
      <c r="C333" t="str">
        <f t="shared" si="21"/>
        <v>0x18</v>
      </c>
      <c r="D333" t="s">
        <v>613</v>
      </c>
      <c r="F333" t="str">
        <f t="shared" si="23"/>
        <v>ECB</v>
      </c>
      <c r="G333" s="2" t="s">
        <v>685</v>
      </c>
      <c r="H333" s="3" t="str">
        <f t="shared" si="20"/>
        <v>0xE800</v>
      </c>
      <c r="J333" t="s">
        <v>14</v>
      </c>
      <c r="K333" t="s">
        <v>602</v>
      </c>
    </row>
    <row r="334" spans="1:11" s="5" customFormat="1" hidden="1" x14ac:dyDescent="0.25">
      <c r="A334" s="1">
        <f t="shared" si="22"/>
        <v>24</v>
      </c>
      <c r="B334" s="5">
        <v>18</v>
      </c>
      <c r="C334" s="5" t="str">
        <f t="shared" si="21"/>
        <v>0x18</v>
      </c>
      <c r="D334" s="5" t="s">
        <v>614</v>
      </c>
      <c r="E334" s="5" t="s">
        <v>217</v>
      </c>
      <c r="F334" s="5" t="str">
        <f t="shared" si="23"/>
        <v>RS</v>
      </c>
      <c r="G334" s="6" t="s">
        <v>615</v>
      </c>
      <c r="H334" s="7" t="str">
        <f t="shared" si="20"/>
        <v>0xF000</v>
      </c>
      <c r="I334" s="7"/>
      <c r="J334" s="5" t="s">
        <v>14</v>
      </c>
      <c r="K334" s="5" t="s">
        <v>602</v>
      </c>
    </row>
    <row r="335" spans="1:11" hidden="1" x14ac:dyDescent="0.25">
      <c r="A335" s="1">
        <f t="shared" si="22"/>
        <v>21</v>
      </c>
      <c r="B335">
        <v>15</v>
      </c>
      <c r="C335" t="str">
        <f t="shared" si="21"/>
        <v>0x15</v>
      </c>
      <c r="D335" t="s">
        <v>373</v>
      </c>
      <c r="E335" t="s">
        <v>377</v>
      </c>
      <c r="F335" t="str">
        <f t="shared" si="23"/>
        <v>ADDF_IC</v>
      </c>
      <c r="G335" s="2">
        <v>0</v>
      </c>
      <c r="H335" s="3" t="str">
        <f t="shared" si="20"/>
        <v>0x0000</v>
      </c>
      <c r="J335" t="s">
        <v>317</v>
      </c>
      <c r="K335" t="s">
        <v>240</v>
      </c>
    </row>
    <row r="336" spans="1:11" hidden="1" x14ac:dyDescent="0.25">
      <c r="A336" s="1">
        <f t="shared" si="22"/>
        <v>0</v>
      </c>
      <c r="B336">
        <v>0</v>
      </c>
      <c r="C336" t="str">
        <f t="shared" si="21"/>
        <v>0x00</v>
      </c>
      <c r="D336" t="s">
        <v>88</v>
      </c>
      <c r="F336" t="str">
        <f t="shared" si="23"/>
        <v>SWPPAL</v>
      </c>
      <c r="G336" s="2" t="s">
        <v>89</v>
      </c>
      <c r="H336" s="3" t="str">
        <f t="shared" si="20"/>
        <v>0x000A</v>
      </c>
      <c r="J336" t="s">
        <v>8</v>
      </c>
      <c r="K336" t="s">
        <v>11</v>
      </c>
    </row>
    <row r="337" spans="1:11" s="5" customFormat="1" hidden="1" x14ac:dyDescent="0.25">
      <c r="A337" s="1">
        <f t="shared" si="22"/>
        <v>0</v>
      </c>
      <c r="B337" s="5">
        <v>0</v>
      </c>
      <c r="C337" s="5" t="str">
        <f t="shared" si="21"/>
        <v>0x00</v>
      </c>
      <c r="D337" s="5" t="s">
        <v>90</v>
      </c>
      <c r="F337" s="5" t="str">
        <f t="shared" si="23"/>
        <v>MFPR_FEN</v>
      </c>
      <c r="G337" s="6" t="s">
        <v>91</v>
      </c>
      <c r="H337" s="7" t="str">
        <f t="shared" si="20"/>
        <v>0x000B</v>
      </c>
      <c r="I337" s="7"/>
      <c r="J337" s="5" t="s">
        <v>8</v>
      </c>
      <c r="K337" s="5" t="s">
        <v>9</v>
      </c>
    </row>
    <row r="338" spans="1:11" s="5" customFormat="1" hidden="1" x14ac:dyDescent="0.25">
      <c r="A338" s="1">
        <f t="shared" si="22"/>
        <v>0</v>
      </c>
      <c r="B338" s="5">
        <v>0</v>
      </c>
      <c r="C338" s="5" t="str">
        <f t="shared" si="21"/>
        <v>0x00</v>
      </c>
      <c r="D338" s="5" t="s">
        <v>92</v>
      </c>
      <c r="F338" s="5" t="str">
        <f t="shared" si="23"/>
        <v>MTPR_FEN</v>
      </c>
      <c r="G338" s="6" t="s">
        <v>93</v>
      </c>
      <c r="H338" s="7" t="str">
        <f t="shared" si="20"/>
        <v>0x000C</v>
      </c>
      <c r="I338" s="7"/>
      <c r="J338" s="5" t="s">
        <v>14</v>
      </c>
      <c r="K338" s="5" t="s">
        <v>9</v>
      </c>
    </row>
    <row r="339" spans="1:11" hidden="1" x14ac:dyDescent="0.25">
      <c r="A339" s="1">
        <f t="shared" si="22"/>
        <v>0</v>
      </c>
      <c r="B339">
        <v>0</v>
      </c>
      <c r="C339" t="str">
        <f t="shared" si="21"/>
        <v>0x00</v>
      </c>
      <c r="D339" t="s">
        <v>94</v>
      </c>
      <c r="F339" t="str">
        <f t="shared" si="23"/>
        <v>SSIR</v>
      </c>
      <c r="G339" s="2" t="s">
        <v>93</v>
      </c>
      <c r="H339" s="3" t="str">
        <f t="shared" si="20"/>
        <v>0x000C</v>
      </c>
      <c r="J339" t="s">
        <v>16</v>
      </c>
      <c r="K339" t="s">
        <v>17</v>
      </c>
    </row>
    <row r="340" spans="1:11" s="5" customFormat="1" hidden="1" x14ac:dyDescent="0.25">
      <c r="A340" s="1">
        <f t="shared" si="22"/>
        <v>0</v>
      </c>
      <c r="B340" s="5">
        <v>0</v>
      </c>
      <c r="C340" s="5" t="str">
        <f t="shared" si="21"/>
        <v>0x00</v>
      </c>
      <c r="D340" s="5" t="s">
        <v>95</v>
      </c>
      <c r="F340" s="5" t="str">
        <f t="shared" si="23"/>
        <v>MTPR_IPIR</v>
      </c>
      <c r="G340" s="6" t="s">
        <v>96</v>
      </c>
      <c r="H340" s="7" t="str">
        <f t="shared" si="20"/>
        <v>0x000D</v>
      </c>
      <c r="I340" s="7"/>
      <c r="J340" s="5" t="s">
        <v>14</v>
      </c>
      <c r="K340" s="5" t="s">
        <v>9</v>
      </c>
    </row>
    <row r="341" spans="1:11" s="5" customFormat="1" hidden="1" x14ac:dyDescent="0.25">
      <c r="A341" s="1">
        <f t="shared" si="22"/>
        <v>0</v>
      </c>
      <c r="B341" s="5">
        <v>0</v>
      </c>
      <c r="C341" s="5" t="str">
        <f t="shared" si="21"/>
        <v>0x00</v>
      </c>
      <c r="D341" s="5" t="s">
        <v>97</v>
      </c>
      <c r="F341" s="5" t="str">
        <f t="shared" si="23"/>
        <v>WRIPIR</v>
      </c>
      <c r="G341" s="6" t="s">
        <v>96</v>
      </c>
      <c r="H341" s="7" t="str">
        <f t="shared" si="20"/>
        <v>0x000D</v>
      </c>
      <c r="I341" s="7"/>
      <c r="J341" s="5" t="s">
        <v>16</v>
      </c>
      <c r="K341" s="5" t="s">
        <v>17</v>
      </c>
    </row>
    <row r="342" spans="1:11" s="5" customFormat="1" hidden="1" x14ac:dyDescent="0.25">
      <c r="A342" s="1">
        <f t="shared" si="22"/>
        <v>0</v>
      </c>
      <c r="B342" s="5">
        <v>0</v>
      </c>
      <c r="C342" s="5" t="str">
        <f t="shared" si="21"/>
        <v>0x00</v>
      </c>
      <c r="D342" s="5" t="s">
        <v>98</v>
      </c>
      <c r="F342" s="5" t="str">
        <f t="shared" si="23"/>
        <v>MFPR_IPL</v>
      </c>
      <c r="G342" s="6" t="s">
        <v>99</v>
      </c>
      <c r="H342" s="7" t="str">
        <f t="shared" si="20"/>
        <v>0x000E</v>
      </c>
      <c r="I342" s="7"/>
      <c r="J342" s="5" t="s">
        <v>14</v>
      </c>
      <c r="K342" s="5" t="s">
        <v>9</v>
      </c>
    </row>
    <row r="343" spans="1:11" hidden="1" x14ac:dyDescent="0.25">
      <c r="A343" s="1">
        <f t="shared" si="22"/>
        <v>0</v>
      </c>
      <c r="B343">
        <v>0</v>
      </c>
      <c r="C343" t="str">
        <f t="shared" si="21"/>
        <v>0x00</v>
      </c>
      <c r="D343" t="s">
        <v>100</v>
      </c>
      <c r="F343" t="str">
        <f t="shared" si="23"/>
        <v>RFE</v>
      </c>
      <c r="G343" s="2" t="s">
        <v>99</v>
      </c>
      <c r="H343" s="3" t="str">
        <f t="shared" si="20"/>
        <v>0x000E</v>
      </c>
      <c r="J343" t="s">
        <v>16</v>
      </c>
      <c r="K343" t="s">
        <v>17</v>
      </c>
    </row>
    <row r="344" spans="1:11" s="5" customFormat="1" hidden="1" x14ac:dyDescent="0.25">
      <c r="A344" s="1">
        <f t="shared" si="22"/>
        <v>0</v>
      </c>
      <c r="B344" s="5">
        <v>0</v>
      </c>
      <c r="C344" s="5" t="str">
        <f t="shared" si="21"/>
        <v>0x00</v>
      </c>
      <c r="D344" s="5" t="s">
        <v>101</v>
      </c>
      <c r="F344" s="5" t="str">
        <f t="shared" si="23"/>
        <v>MTPR_IPL</v>
      </c>
      <c r="G344" s="6" t="s">
        <v>102</v>
      </c>
      <c r="H344" s="7" t="str">
        <f t="shared" si="20"/>
        <v>0x000F</v>
      </c>
      <c r="I344" s="7"/>
      <c r="J344" s="5" t="s">
        <v>14</v>
      </c>
      <c r="K344" s="5" t="s">
        <v>9</v>
      </c>
    </row>
    <row r="345" spans="1:11" hidden="1" x14ac:dyDescent="0.25">
      <c r="A345" s="1">
        <f t="shared" si="22"/>
        <v>0</v>
      </c>
    </row>
    <row r="346" spans="1:11" x14ac:dyDescent="0.25">
      <c r="A346" s="1">
        <f t="shared" si="22"/>
        <v>21</v>
      </c>
      <c r="B346">
        <v>15</v>
      </c>
      <c r="C346" t="str">
        <f t="shared" si="21"/>
        <v>0x15</v>
      </c>
      <c r="D346" t="s">
        <v>374</v>
      </c>
      <c r="E346" t="s">
        <v>396</v>
      </c>
      <c r="F346" t="str">
        <f t="shared" si="23"/>
        <v>SUBF_C</v>
      </c>
      <c r="G346" s="2">
        <v>1</v>
      </c>
      <c r="H346" s="3" t="str">
        <f t="shared" ref="H346:H408" si="24">"0x"&amp;RIGHT("0000"&amp;UPPER(SUBSTITUTE(TRIM(G346),"0X","")),4)</f>
        <v>0x0001</v>
      </c>
      <c r="J346" t="s">
        <v>317</v>
      </c>
      <c r="K346" t="s">
        <v>240</v>
      </c>
    </row>
    <row r="347" spans="1:11" s="5" customFormat="1" hidden="1" x14ac:dyDescent="0.25">
      <c r="A347" s="1">
        <f t="shared" si="22"/>
        <v>0</v>
      </c>
      <c r="B347" s="5">
        <v>0</v>
      </c>
      <c r="C347" s="5" t="str">
        <f t="shared" si="21"/>
        <v>0x00</v>
      </c>
      <c r="D347" s="5" t="s">
        <v>104</v>
      </c>
      <c r="F347" s="5" t="str">
        <f t="shared" si="23"/>
        <v>MFPR_TBCHK</v>
      </c>
      <c r="G347" s="6" t="s">
        <v>105</v>
      </c>
      <c r="H347" s="7" t="str">
        <f t="shared" si="24"/>
        <v>0x001A</v>
      </c>
      <c r="I347" s="7"/>
      <c r="J347" s="5" t="s">
        <v>14</v>
      </c>
      <c r="K347" s="5" t="s">
        <v>9</v>
      </c>
    </row>
    <row r="348" spans="1:11" s="5" customFormat="1" hidden="1" x14ac:dyDescent="0.25">
      <c r="A348" s="1">
        <f t="shared" si="22"/>
        <v>0</v>
      </c>
      <c r="B348" s="5">
        <v>0</v>
      </c>
      <c r="C348" s="5" t="str">
        <f t="shared" si="21"/>
        <v>0x00</v>
      </c>
      <c r="D348" s="5" t="s">
        <v>106</v>
      </c>
      <c r="F348" s="5" t="str">
        <f t="shared" si="23"/>
        <v>RDPSR</v>
      </c>
      <c r="G348" s="6" t="s">
        <v>105</v>
      </c>
      <c r="H348" s="7" t="str">
        <f t="shared" si="24"/>
        <v>0x001A</v>
      </c>
      <c r="I348" s="7"/>
      <c r="J348" s="5" t="s">
        <v>16</v>
      </c>
      <c r="K348" s="5" t="s">
        <v>17</v>
      </c>
    </row>
    <row r="349" spans="1:11" s="5" customFormat="1" hidden="1" x14ac:dyDescent="0.25">
      <c r="A349" s="1">
        <f t="shared" si="22"/>
        <v>0</v>
      </c>
      <c r="B349" s="5">
        <v>0</v>
      </c>
      <c r="C349" s="5" t="str">
        <f t="shared" si="21"/>
        <v>0x00</v>
      </c>
      <c r="D349" s="5" t="s">
        <v>107</v>
      </c>
      <c r="F349" s="5" t="str">
        <f t="shared" si="23"/>
        <v>MTPR_TBIA</v>
      </c>
      <c r="G349" s="6" t="s">
        <v>108</v>
      </c>
      <c r="H349" s="7" t="str">
        <f t="shared" si="24"/>
        <v>0x001B</v>
      </c>
      <c r="I349" s="7"/>
      <c r="J349" s="5" t="s">
        <v>8</v>
      </c>
      <c r="K349" s="5" t="s">
        <v>9</v>
      </c>
    </row>
    <row r="350" spans="1:11" s="5" customFormat="1" hidden="1" x14ac:dyDescent="0.25">
      <c r="A350" s="1">
        <f t="shared" si="22"/>
        <v>0</v>
      </c>
      <c r="B350" s="5">
        <v>0</v>
      </c>
      <c r="C350" s="5" t="str">
        <f t="shared" si="21"/>
        <v>0x00</v>
      </c>
      <c r="D350" s="5" t="s">
        <v>109</v>
      </c>
      <c r="F350" s="5" t="str">
        <f t="shared" si="23"/>
        <v>MTPR_TBIAP</v>
      </c>
      <c r="G350" s="6" t="s">
        <v>110</v>
      </c>
      <c r="H350" s="7" t="str">
        <f t="shared" si="24"/>
        <v>0x001C</v>
      </c>
      <c r="I350" s="7"/>
      <c r="J350" s="5" t="s">
        <v>14</v>
      </c>
      <c r="K350" s="5" t="s">
        <v>9</v>
      </c>
    </row>
    <row r="351" spans="1:11" s="5" customFormat="1" hidden="1" x14ac:dyDescent="0.25">
      <c r="A351" s="1">
        <f t="shared" si="22"/>
        <v>0</v>
      </c>
      <c r="B351" s="5">
        <v>0</v>
      </c>
      <c r="C351" s="5" t="str">
        <f t="shared" ref="C351:C413" si="25">"0x"&amp;TEXT(DEC2HEX(A351),"00")</f>
        <v>0x00</v>
      </c>
      <c r="D351" s="5" t="s">
        <v>111</v>
      </c>
      <c r="F351" s="5" t="str">
        <f t="shared" si="23"/>
        <v>RDPER</v>
      </c>
      <c r="G351" s="6" t="s">
        <v>110</v>
      </c>
      <c r="H351" s="7" t="str">
        <f t="shared" si="24"/>
        <v>0x001C</v>
      </c>
      <c r="I351" s="7"/>
      <c r="J351" s="5" t="s">
        <v>16</v>
      </c>
      <c r="K351" s="5" t="s">
        <v>17</v>
      </c>
    </row>
    <row r="352" spans="1:11" s="5" customFormat="1" hidden="1" x14ac:dyDescent="0.25">
      <c r="A352" s="1">
        <f t="shared" si="22"/>
        <v>0</v>
      </c>
      <c r="B352" s="5">
        <v>0</v>
      </c>
      <c r="C352" s="5" t="str">
        <f t="shared" si="25"/>
        <v>0x00</v>
      </c>
      <c r="D352" s="5" t="s">
        <v>112</v>
      </c>
      <c r="F352" s="5" t="str">
        <f t="shared" si="23"/>
        <v>MTPR_TBIS</v>
      </c>
      <c r="G352" s="6" t="s">
        <v>113</v>
      </c>
      <c r="H352" s="7" t="str">
        <f t="shared" si="24"/>
        <v>0x001D</v>
      </c>
      <c r="I352" s="7"/>
      <c r="J352" s="5" t="s">
        <v>8</v>
      </c>
      <c r="K352" s="5" t="s">
        <v>9</v>
      </c>
    </row>
    <row r="353" spans="1:11" s="5" customFormat="1" hidden="1" x14ac:dyDescent="0.25">
      <c r="A353" s="1">
        <f t="shared" si="22"/>
        <v>0</v>
      </c>
      <c r="B353" s="5">
        <v>0</v>
      </c>
      <c r="C353" s="5" t="str">
        <f t="shared" si="25"/>
        <v>0x00</v>
      </c>
      <c r="D353" s="5" t="s">
        <v>114</v>
      </c>
      <c r="F353" s="5" t="str">
        <f t="shared" si="23"/>
        <v>MFPR_ESP</v>
      </c>
      <c r="G353" s="6" t="s">
        <v>115</v>
      </c>
      <c r="H353" s="7" t="str">
        <f t="shared" si="24"/>
        <v>0x001E</v>
      </c>
      <c r="I353" s="7"/>
      <c r="J353" s="5" t="s">
        <v>14</v>
      </c>
      <c r="K353" s="5" t="s">
        <v>9</v>
      </c>
    </row>
    <row r="354" spans="1:11" s="5" customFormat="1" hidden="1" x14ac:dyDescent="0.25">
      <c r="A354" s="1">
        <f t="shared" si="22"/>
        <v>0</v>
      </c>
      <c r="B354" s="5">
        <v>0</v>
      </c>
      <c r="C354" s="5" t="str">
        <f t="shared" si="25"/>
        <v>0x00</v>
      </c>
      <c r="D354" s="5" t="s">
        <v>116</v>
      </c>
      <c r="F354" s="5" t="str">
        <f t="shared" si="23"/>
        <v>RDTHREAD</v>
      </c>
      <c r="G354" s="6" t="s">
        <v>115</v>
      </c>
      <c r="H354" s="7" t="str">
        <f t="shared" si="24"/>
        <v>0x001E</v>
      </c>
      <c r="I354" s="7"/>
      <c r="J354" s="5" t="s">
        <v>16</v>
      </c>
      <c r="K354" s="5" t="s">
        <v>17</v>
      </c>
    </row>
    <row r="355" spans="1:11" s="5" customFormat="1" hidden="1" x14ac:dyDescent="0.25">
      <c r="A355" s="1">
        <f t="shared" si="22"/>
        <v>0</v>
      </c>
      <c r="B355" s="5">
        <v>0</v>
      </c>
      <c r="C355" s="5" t="str">
        <f t="shared" si="25"/>
        <v>0x00</v>
      </c>
      <c r="D355" s="5" t="s">
        <v>117</v>
      </c>
      <c r="F355" s="5" t="str">
        <f t="shared" si="23"/>
        <v>MTPR_ESP</v>
      </c>
      <c r="G355" s="6" t="s">
        <v>118</v>
      </c>
      <c r="H355" s="7" t="str">
        <f t="shared" si="24"/>
        <v>0x001F</v>
      </c>
      <c r="I355" s="7"/>
      <c r="J355" s="5" t="s">
        <v>14</v>
      </c>
      <c r="K355" s="5" t="s">
        <v>9</v>
      </c>
    </row>
    <row r="356" spans="1:11" hidden="1" x14ac:dyDescent="0.25">
      <c r="A356" s="1">
        <f t="shared" si="22"/>
        <v>21</v>
      </c>
      <c r="B356">
        <v>15</v>
      </c>
      <c r="C356" t="str">
        <f t="shared" si="25"/>
        <v>0x15</v>
      </c>
      <c r="D356" t="s">
        <v>375</v>
      </c>
      <c r="E356" t="s">
        <v>377</v>
      </c>
      <c r="F356" t="str">
        <f t="shared" si="23"/>
        <v>MULF_IC</v>
      </c>
      <c r="G356" s="2" t="s">
        <v>378</v>
      </c>
      <c r="H356" s="3" t="str">
        <f t="shared" si="24"/>
        <v>0x0002</v>
      </c>
      <c r="J356" t="s">
        <v>317</v>
      </c>
      <c r="K356" t="s">
        <v>240</v>
      </c>
    </row>
    <row r="357" spans="1:11" s="5" customFormat="1" hidden="1" x14ac:dyDescent="0.25">
      <c r="A357" s="1">
        <f t="shared" si="22"/>
        <v>0</v>
      </c>
      <c r="B357" s="5">
        <v>0</v>
      </c>
      <c r="C357" s="5" t="str">
        <f t="shared" si="25"/>
        <v>0x00</v>
      </c>
      <c r="D357" s="5" t="s">
        <v>119</v>
      </c>
      <c r="F357" s="5" t="str">
        <f t="shared" si="23"/>
        <v>MTPR_VPTB</v>
      </c>
      <c r="G357" s="6" t="s">
        <v>120</v>
      </c>
      <c r="H357" s="7" t="str">
        <f t="shared" si="24"/>
        <v>0x002A</v>
      </c>
      <c r="I357" s="7"/>
      <c r="J357" s="5" t="s">
        <v>8</v>
      </c>
      <c r="K357" s="5" t="s">
        <v>9</v>
      </c>
    </row>
    <row r="358" spans="1:11" s="5" customFormat="1" hidden="1" x14ac:dyDescent="0.25">
      <c r="A358" s="1">
        <f t="shared" si="22"/>
        <v>0</v>
      </c>
      <c r="B358" s="5">
        <v>0</v>
      </c>
      <c r="C358" s="5" t="str">
        <f t="shared" si="25"/>
        <v>0x00</v>
      </c>
      <c r="D358" s="5" t="s">
        <v>121</v>
      </c>
      <c r="F358" s="5" t="str">
        <f t="shared" si="23"/>
        <v>MTPR_PERFMON</v>
      </c>
      <c r="G358" s="6" t="s">
        <v>122</v>
      </c>
      <c r="H358" s="7" t="str">
        <f t="shared" si="24"/>
        <v>0x002B</v>
      </c>
      <c r="I358" s="7"/>
      <c r="J358" s="5" t="s">
        <v>14</v>
      </c>
      <c r="K358" s="5" t="s">
        <v>9</v>
      </c>
    </row>
    <row r="359" spans="1:11" s="5" customFormat="1" hidden="1" x14ac:dyDescent="0.25">
      <c r="A359" s="1">
        <f t="shared" si="22"/>
        <v>0</v>
      </c>
      <c r="B359" s="5">
        <v>0</v>
      </c>
      <c r="C359" s="5" t="str">
        <f t="shared" si="25"/>
        <v>0x00</v>
      </c>
      <c r="D359" s="5" t="s">
        <v>123</v>
      </c>
      <c r="F359" s="5" t="str">
        <f t="shared" si="23"/>
        <v>WRFEN</v>
      </c>
      <c r="G359" s="6" t="s">
        <v>122</v>
      </c>
      <c r="H359" s="7" t="str">
        <f t="shared" si="24"/>
        <v>0x002B</v>
      </c>
      <c r="I359" s="7"/>
      <c r="J359" s="5" t="s">
        <v>16</v>
      </c>
      <c r="K359" s="5" t="s">
        <v>17</v>
      </c>
    </row>
    <row r="360" spans="1:11" s="5" customFormat="1" hidden="1" x14ac:dyDescent="0.25">
      <c r="A360" s="1">
        <f t="shared" si="22"/>
        <v>0</v>
      </c>
      <c r="B360" s="5">
        <v>0</v>
      </c>
      <c r="C360" s="5" t="str">
        <f t="shared" si="25"/>
        <v>0x00</v>
      </c>
      <c r="D360" s="5" t="s">
        <v>124</v>
      </c>
      <c r="F360" s="5" t="str">
        <f t="shared" si="23"/>
        <v>WRVPTPTR</v>
      </c>
      <c r="G360" s="6" t="s">
        <v>125</v>
      </c>
      <c r="H360" s="7" t="str">
        <f t="shared" si="24"/>
        <v>0x002D</v>
      </c>
      <c r="I360" s="7"/>
      <c r="J360" s="5" t="s">
        <v>8</v>
      </c>
      <c r="K360" s="5" t="s">
        <v>11</v>
      </c>
    </row>
    <row r="361" spans="1:11" s="5" customFormat="1" hidden="1" x14ac:dyDescent="0.25">
      <c r="A361" s="1">
        <f t="shared" si="22"/>
        <v>0</v>
      </c>
      <c r="B361" s="5">
        <v>0</v>
      </c>
      <c r="C361" s="5" t="str">
        <f t="shared" si="25"/>
        <v>0x00</v>
      </c>
      <c r="D361" s="5" t="s">
        <v>126</v>
      </c>
      <c r="F361" s="5" t="str">
        <f t="shared" si="23"/>
        <v>MTPR_DATFX</v>
      </c>
      <c r="G361" s="6" t="s">
        <v>127</v>
      </c>
      <c r="H361" s="7" t="str">
        <f t="shared" si="24"/>
        <v>0x002E</v>
      </c>
      <c r="I361" s="7"/>
      <c r="J361" s="5" t="s">
        <v>8</v>
      </c>
      <c r="K361" s="5" t="s">
        <v>9</v>
      </c>
    </row>
    <row r="362" spans="1:11" s="5" customFormat="1" hidden="1" x14ac:dyDescent="0.25">
      <c r="A362" s="1">
        <f t="shared" si="22"/>
        <v>21</v>
      </c>
      <c r="B362" s="5">
        <v>15</v>
      </c>
      <c r="C362" s="5" t="str">
        <f t="shared" si="25"/>
        <v>0x15</v>
      </c>
      <c r="D362" s="5" t="s">
        <v>376</v>
      </c>
      <c r="E362" s="5" t="s">
        <v>396</v>
      </c>
      <c r="F362" s="5" t="str">
        <f t="shared" si="23"/>
        <v>DIVF_C</v>
      </c>
      <c r="G362" s="6" t="s">
        <v>379</v>
      </c>
      <c r="H362" s="7" t="str">
        <f t="shared" si="24"/>
        <v>0x0003</v>
      </c>
      <c r="I362" s="7"/>
      <c r="J362" s="5" t="s">
        <v>317</v>
      </c>
      <c r="K362" s="5" t="s">
        <v>240</v>
      </c>
    </row>
    <row r="363" spans="1:11" s="5" customFormat="1" hidden="1" x14ac:dyDescent="0.25">
      <c r="A363" s="1">
        <f t="shared" si="22"/>
        <v>0</v>
      </c>
      <c r="B363" s="5">
        <v>0</v>
      </c>
      <c r="C363" s="5" t="str">
        <f t="shared" si="25"/>
        <v>0x00</v>
      </c>
      <c r="D363" s="5" t="s">
        <v>52</v>
      </c>
      <c r="F363" s="5" t="str">
        <f t="shared" si="23"/>
        <v>RDUSP</v>
      </c>
      <c r="G363" s="6" t="s">
        <v>128</v>
      </c>
      <c r="H363" s="7" t="str">
        <f t="shared" si="24"/>
        <v>0x003A</v>
      </c>
      <c r="I363" s="7"/>
      <c r="J363" s="5" t="s">
        <v>8</v>
      </c>
      <c r="K363" s="5" t="s">
        <v>11</v>
      </c>
    </row>
    <row r="364" spans="1:11" s="5" customFormat="1" hidden="1" x14ac:dyDescent="0.25">
      <c r="A364" s="1">
        <f t="shared" si="22"/>
        <v>0</v>
      </c>
      <c r="B364" s="5">
        <v>0</v>
      </c>
      <c r="C364" s="5" t="str">
        <f t="shared" si="25"/>
        <v>0x00</v>
      </c>
      <c r="D364" s="5" t="s">
        <v>129</v>
      </c>
      <c r="F364" s="5" t="str">
        <f t="shared" si="23"/>
        <v>WHAMI</v>
      </c>
      <c r="G364" s="6" t="s">
        <v>130</v>
      </c>
      <c r="H364" s="7" t="str">
        <f t="shared" si="24"/>
        <v>0x003C</v>
      </c>
      <c r="I364" s="7"/>
      <c r="J364" s="5" t="s">
        <v>8</v>
      </c>
      <c r="K364" s="5" t="s">
        <v>11</v>
      </c>
    </row>
    <row r="365" spans="1:11" s="5" customFormat="1" hidden="1" x14ac:dyDescent="0.25">
      <c r="A365" s="1">
        <f t="shared" si="22"/>
        <v>0</v>
      </c>
      <c r="B365" s="5">
        <v>0</v>
      </c>
      <c r="C365" s="5" t="str">
        <f t="shared" si="25"/>
        <v>0x00</v>
      </c>
      <c r="D365" s="5" t="s">
        <v>103</v>
      </c>
      <c r="F365" s="5" t="str">
        <f t="shared" si="23"/>
        <v>RETSYS</v>
      </c>
      <c r="G365" s="6" t="s">
        <v>131</v>
      </c>
      <c r="H365" s="7" t="str">
        <f t="shared" si="24"/>
        <v>0x003D</v>
      </c>
      <c r="I365" s="7"/>
      <c r="J365" s="5" t="s">
        <v>8</v>
      </c>
      <c r="K365" s="5" t="s">
        <v>11</v>
      </c>
    </row>
    <row r="366" spans="1:11" s="5" customFormat="1" hidden="1" x14ac:dyDescent="0.25">
      <c r="A366" s="1">
        <f t="shared" si="22"/>
        <v>0</v>
      </c>
      <c r="B366" s="5">
        <v>0</v>
      </c>
      <c r="C366" s="5" t="str">
        <f t="shared" si="25"/>
        <v>0x00</v>
      </c>
      <c r="D366" s="5" t="s">
        <v>132</v>
      </c>
      <c r="F366" s="5" t="str">
        <f t="shared" si="23"/>
        <v>MFPR_WHAMI</v>
      </c>
      <c r="G366" s="6" t="s">
        <v>133</v>
      </c>
      <c r="H366" s="7" t="str">
        <f t="shared" si="24"/>
        <v>0x003F</v>
      </c>
      <c r="I366" s="7"/>
      <c r="J366" s="5" t="s">
        <v>14</v>
      </c>
      <c r="K366" s="5" t="s">
        <v>9</v>
      </c>
    </row>
    <row r="367" spans="1:11" s="5" customFormat="1" hidden="1" x14ac:dyDescent="0.25">
      <c r="A367" s="1">
        <f t="shared" si="22"/>
        <v>0</v>
      </c>
      <c r="B367" s="5">
        <v>0</v>
      </c>
      <c r="C367" s="5" t="str">
        <f t="shared" si="25"/>
        <v>0x00</v>
      </c>
      <c r="D367" s="5" t="s">
        <v>134</v>
      </c>
      <c r="F367" s="5" t="str">
        <f t="shared" si="23"/>
        <v>RTI</v>
      </c>
      <c r="G367" s="6" t="s">
        <v>133</v>
      </c>
      <c r="H367" s="7" t="str">
        <f t="shared" si="24"/>
        <v>0x003F</v>
      </c>
      <c r="I367" s="7"/>
      <c r="J367" s="5" t="s">
        <v>16</v>
      </c>
      <c r="K367" s="5" t="s">
        <v>17</v>
      </c>
    </row>
    <row r="368" spans="1:11" s="5" customFormat="1" hidden="1" x14ac:dyDescent="0.25">
      <c r="A368" s="1">
        <f t="shared" si="22"/>
        <v>0</v>
      </c>
      <c r="B368" s="5">
        <v>0</v>
      </c>
      <c r="C368" s="5" t="str">
        <f t="shared" si="25"/>
        <v>0x00</v>
      </c>
      <c r="D368" s="5" t="s">
        <v>135</v>
      </c>
      <c r="F368" s="5" t="str">
        <f t="shared" si="23"/>
        <v>INSQTIQ</v>
      </c>
      <c r="G368" s="6" t="s">
        <v>136</v>
      </c>
      <c r="H368" s="7" t="str">
        <f t="shared" si="24"/>
        <v>0x008A</v>
      </c>
      <c r="I368" s="7"/>
      <c r="J368" s="5" t="s">
        <v>8</v>
      </c>
      <c r="K368" s="5" t="s">
        <v>11</v>
      </c>
    </row>
    <row r="369" spans="1:11" s="5" customFormat="1" hidden="1" x14ac:dyDescent="0.25">
      <c r="A369" s="1">
        <f t="shared" si="22"/>
        <v>0</v>
      </c>
      <c r="B369" s="5">
        <v>0</v>
      </c>
      <c r="C369" s="5" t="str">
        <f t="shared" si="25"/>
        <v>0x00</v>
      </c>
      <c r="D369" s="5" t="s">
        <v>137</v>
      </c>
      <c r="F369" s="5" t="str">
        <f t="shared" si="23"/>
        <v>INSQUEL</v>
      </c>
      <c r="G369" s="6" t="s">
        <v>138</v>
      </c>
      <c r="H369" s="7" t="str">
        <f t="shared" si="24"/>
        <v>0x008B</v>
      </c>
      <c r="I369" s="7"/>
      <c r="J369" s="5" t="s">
        <v>8</v>
      </c>
      <c r="K369" s="5" t="s">
        <v>11</v>
      </c>
    </row>
    <row r="370" spans="1:11" s="5" customFormat="1" hidden="1" x14ac:dyDescent="0.25">
      <c r="A370" s="1">
        <f t="shared" si="22"/>
        <v>0</v>
      </c>
      <c r="B370" s="5">
        <v>0</v>
      </c>
      <c r="C370" s="5" t="str">
        <f t="shared" si="25"/>
        <v>0x00</v>
      </c>
      <c r="D370" s="5" t="s">
        <v>139</v>
      </c>
      <c r="F370" s="5" t="str">
        <f t="shared" si="23"/>
        <v>INSQUEQ</v>
      </c>
      <c r="G370" s="6" t="s">
        <v>140</v>
      </c>
      <c r="H370" s="7" t="str">
        <f t="shared" si="24"/>
        <v>0x008C</v>
      </c>
      <c r="I370" s="7"/>
      <c r="J370" s="5" t="s">
        <v>8</v>
      </c>
      <c r="K370" s="5" t="s">
        <v>11</v>
      </c>
    </row>
    <row r="371" spans="1:11" s="5" customFormat="1" hidden="1" x14ac:dyDescent="0.25">
      <c r="A371" s="1">
        <f t="shared" si="22"/>
        <v>0</v>
      </c>
      <c r="B371" s="5">
        <v>0</v>
      </c>
      <c r="C371" s="5" t="str">
        <f t="shared" si="25"/>
        <v>0x00</v>
      </c>
      <c r="D371" s="5" t="s">
        <v>137</v>
      </c>
      <c r="E371" s="5" t="s">
        <v>520</v>
      </c>
      <c r="F371" s="5" t="str">
        <f t="shared" si="23"/>
        <v>INSQUEL_D</v>
      </c>
      <c r="G371" s="6" t="s">
        <v>141</v>
      </c>
      <c r="H371" s="7" t="str">
        <f t="shared" si="24"/>
        <v>0x008D</v>
      </c>
      <c r="I371" s="7"/>
      <c r="J371" s="5" t="s">
        <v>8</v>
      </c>
      <c r="K371" s="5" t="s">
        <v>11</v>
      </c>
    </row>
    <row r="372" spans="1:11" s="5" customFormat="1" hidden="1" x14ac:dyDescent="0.25">
      <c r="A372" s="1">
        <f t="shared" si="22"/>
        <v>0</v>
      </c>
      <c r="B372" s="5">
        <v>0</v>
      </c>
      <c r="C372" s="5" t="str">
        <f t="shared" si="25"/>
        <v>0x00</v>
      </c>
      <c r="D372" s="5" t="s">
        <v>139</v>
      </c>
      <c r="E372" s="5" t="s">
        <v>520</v>
      </c>
      <c r="F372" s="5" t="str">
        <f t="shared" si="23"/>
        <v>INSQUEQ_D</v>
      </c>
      <c r="G372" s="6" t="s">
        <v>142</v>
      </c>
      <c r="H372" s="7" t="str">
        <f t="shared" si="24"/>
        <v>0x008E</v>
      </c>
      <c r="I372" s="7"/>
      <c r="J372" s="5" t="s">
        <v>8</v>
      </c>
      <c r="K372" s="5" t="s">
        <v>11</v>
      </c>
    </row>
    <row r="373" spans="1:11" s="5" customFormat="1" hidden="1" x14ac:dyDescent="0.25">
      <c r="A373" s="1">
        <f t="shared" si="22"/>
        <v>0</v>
      </c>
      <c r="B373" s="5">
        <v>0</v>
      </c>
      <c r="C373" s="5" t="str">
        <f t="shared" si="25"/>
        <v>0x00</v>
      </c>
      <c r="D373" s="5" t="s">
        <v>143</v>
      </c>
      <c r="F373" s="5" t="str">
        <f t="shared" si="23"/>
        <v>PROBER</v>
      </c>
      <c r="G373" s="6" t="s">
        <v>144</v>
      </c>
      <c r="H373" s="7" t="str">
        <f t="shared" si="24"/>
        <v>0x008F</v>
      </c>
      <c r="I373" s="7"/>
      <c r="J373" s="5" t="s">
        <v>8</v>
      </c>
      <c r="K373" s="5" t="s">
        <v>11</v>
      </c>
    </row>
    <row r="374" spans="1:11" s="5" customFormat="1" hidden="1" x14ac:dyDescent="0.25">
      <c r="A374" s="1">
        <f t="shared" si="22"/>
        <v>0</v>
      </c>
      <c r="B374" s="5">
        <v>0</v>
      </c>
      <c r="C374" s="5" t="str">
        <f t="shared" si="25"/>
        <v>0x00</v>
      </c>
      <c r="D374" s="5" t="s">
        <v>145</v>
      </c>
      <c r="F374" s="5" t="str">
        <f t="shared" si="23"/>
        <v>REMQUEQ/D</v>
      </c>
      <c r="G374" s="6" t="s">
        <v>146</v>
      </c>
      <c r="H374" s="7" t="str">
        <f t="shared" si="24"/>
        <v>0x009A</v>
      </c>
      <c r="I374" s="7"/>
      <c r="J374" s="5" t="s">
        <v>8</v>
      </c>
      <c r="K374" s="5" t="s">
        <v>11</v>
      </c>
    </row>
    <row r="375" spans="1:11" hidden="1" x14ac:dyDescent="0.25">
      <c r="A375" s="1">
        <f t="shared" si="22"/>
        <v>0</v>
      </c>
      <c r="B375">
        <v>0</v>
      </c>
      <c r="C375" t="str">
        <f t="shared" si="25"/>
        <v>0x00</v>
      </c>
      <c r="D375" t="s">
        <v>147</v>
      </c>
      <c r="F375" t="str">
        <f t="shared" si="23"/>
        <v>SWASTEN</v>
      </c>
      <c r="G375" s="2" t="s">
        <v>148</v>
      </c>
      <c r="H375" s="3" t="str">
        <f t="shared" si="24"/>
        <v>0x009B</v>
      </c>
      <c r="J375" t="s">
        <v>8</v>
      </c>
      <c r="K375" t="s">
        <v>11</v>
      </c>
    </row>
    <row r="376" spans="1:11" s="5" customFormat="1" hidden="1" x14ac:dyDescent="0.25">
      <c r="A376" s="1">
        <f t="shared" si="22"/>
        <v>0</v>
      </c>
      <c r="B376" s="5">
        <v>0</v>
      </c>
      <c r="C376" s="5" t="str">
        <f t="shared" si="25"/>
        <v>0x00</v>
      </c>
      <c r="D376" s="5" t="s">
        <v>149</v>
      </c>
      <c r="F376" s="5" t="str">
        <f t="shared" si="23"/>
        <v>WR_PS_SW</v>
      </c>
      <c r="G376" s="6" t="s">
        <v>150</v>
      </c>
      <c r="H376" s="7" t="str">
        <f t="shared" si="24"/>
        <v>0x009C</v>
      </c>
      <c r="I376" s="7"/>
      <c r="J376" s="5" t="s">
        <v>8</v>
      </c>
      <c r="K376" s="5" t="s">
        <v>11</v>
      </c>
    </row>
    <row r="377" spans="1:11" s="5" customFormat="1" hidden="1" x14ac:dyDescent="0.25">
      <c r="A377" s="1">
        <f t="shared" si="22"/>
        <v>0</v>
      </c>
      <c r="B377" s="5">
        <v>0</v>
      </c>
      <c r="C377" s="5" t="str">
        <f t="shared" si="25"/>
        <v>0x00</v>
      </c>
      <c r="D377" s="5" t="s">
        <v>151</v>
      </c>
      <c r="F377" s="5" t="str">
        <f t="shared" si="23"/>
        <v>RSCC</v>
      </c>
      <c r="G377" s="6" t="s">
        <v>152</v>
      </c>
      <c r="H377" s="7" t="str">
        <f t="shared" si="24"/>
        <v>0x009D</v>
      </c>
      <c r="I377" s="7"/>
      <c r="J377" s="5" t="s">
        <v>8</v>
      </c>
      <c r="K377" s="5" t="s">
        <v>11</v>
      </c>
    </row>
    <row r="378" spans="1:11" s="5" customFormat="1" hidden="1" x14ac:dyDescent="0.25">
      <c r="A378" s="1">
        <f t="shared" si="22"/>
        <v>0</v>
      </c>
      <c r="B378" s="5">
        <v>0</v>
      </c>
      <c r="C378" s="5" t="str">
        <f t="shared" si="25"/>
        <v>0x00</v>
      </c>
      <c r="D378" s="5" t="s">
        <v>153</v>
      </c>
      <c r="F378" s="5" t="str">
        <f t="shared" si="23"/>
        <v>READ_UNQ</v>
      </c>
      <c r="G378" s="6" t="s">
        <v>154</v>
      </c>
      <c r="H378" s="7" t="str">
        <f t="shared" si="24"/>
        <v>0x009E</v>
      </c>
      <c r="I378" s="7"/>
      <c r="J378" s="5" t="s">
        <v>14</v>
      </c>
      <c r="K378" s="5" t="s">
        <v>155</v>
      </c>
    </row>
    <row r="379" spans="1:11" s="5" customFormat="1" hidden="1" x14ac:dyDescent="0.25">
      <c r="A379" s="1">
        <f t="shared" si="22"/>
        <v>0</v>
      </c>
      <c r="B379" s="5">
        <v>0</v>
      </c>
      <c r="C379" s="5" t="str">
        <f t="shared" si="25"/>
        <v>0x00</v>
      </c>
      <c r="D379" s="5" t="s">
        <v>156</v>
      </c>
      <c r="F379" s="5" t="str">
        <f t="shared" si="23"/>
        <v>RDUNIQUE</v>
      </c>
      <c r="G379" s="6" t="s">
        <v>154</v>
      </c>
      <c r="H379" s="7" t="str">
        <f t="shared" si="24"/>
        <v>0x009E</v>
      </c>
      <c r="I379" s="7"/>
      <c r="J379" s="5" t="s">
        <v>16</v>
      </c>
      <c r="K379" s="5" t="s">
        <v>17</v>
      </c>
    </row>
    <row r="380" spans="1:11" s="5" customFormat="1" hidden="1" x14ac:dyDescent="0.25">
      <c r="A380" s="1">
        <f t="shared" si="22"/>
        <v>0</v>
      </c>
      <c r="B380" s="5">
        <v>0</v>
      </c>
      <c r="C380" s="5" t="str">
        <f t="shared" si="25"/>
        <v>0x00</v>
      </c>
      <c r="D380" s="5" t="s">
        <v>157</v>
      </c>
      <c r="F380" s="5" t="str">
        <f t="shared" si="23"/>
        <v>WRITE_UNQ</v>
      </c>
      <c r="G380" s="6" t="s">
        <v>158</v>
      </c>
      <c r="H380" s="7" t="str">
        <f t="shared" si="24"/>
        <v>0x009F</v>
      </c>
      <c r="I380" s="7"/>
      <c r="J380" s="5" t="s">
        <v>14</v>
      </c>
      <c r="K380" s="5" t="s">
        <v>9</v>
      </c>
    </row>
    <row r="381" spans="1:11" s="5" customFormat="1" hidden="1" x14ac:dyDescent="0.25">
      <c r="A381" s="1">
        <f t="shared" si="22"/>
        <v>0</v>
      </c>
      <c r="B381" s="5">
        <v>0</v>
      </c>
      <c r="C381" s="5" t="str">
        <f t="shared" si="25"/>
        <v>0x00</v>
      </c>
      <c r="D381" s="5" t="s">
        <v>159</v>
      </c>
      <c r="F381" s="5" t="str">
        <f t="shared" si="23"/>
        <v>WRUNIQUE</v>
      </c>
      <c r="G381" s="6" t="s">
        <v>158</v>
      </c>
      <c r="H381" s="7" t="str">
        <f t="shared" si="24"/>
        <v>0x009F</v>
      </c>
      <c r="I381" s="7"/>
      <c r="J381" s="5" t="s">
        <v>16</v>
      </c>
      <c r="K381" s="5" t="s">
        <v>17</v>
      </c>
    </row>
    <row r="382" spans="1:11" s="5" customFormat="1" hidden="1" x14ac:dyDescent="0.25">
      <c r="A382" s="1">
        <f t="shared" si="22"/>
        <v>0</v>
      </c>
      <c r="B382" s="5">
        <v>0</v>
      </c>
      <c r="C382" s="5" t="str">
        <f t="shared" si="25"/>
        <v>0x00</v>
      </c>
      <c r="D382" s="5" t="s">
        <v>160</v>
      </c>
      <c r="F382" s="5" t="str">
        <f t="shared" si="23"/>
        <v>AMOVRR</v>
      </c>
      <c r="G382" s="6" t="s">
        <v>161</v>
      </c>
      <c r="H382" s="7" t="str">
        <f t="shared" si="24"/>
        <v>0x00A0</v>
      </c>
      <c r="I382" s="7"/>
      <c r="J382" s="5" t="s">
        <v>8</v>
      </c>
      <c r="K382" s="5" t="s">
        <v>11</v>
      </c>
    </row>
    <row r="383" spans="1:11" s="5" customFormat="1" hidden="1" x14ac:dyDescent="0.25">
      <c r="A383" s="1">
        <f t="shared" si="22"/>
        <v>0</v>
      </c>
      <c r="B383" s="5">
        <v>0</v>
      </c>
      <c r="C383" s="5" t="str">
        <f t="shared" si="25"/>
        <v>0x00</v>
      </c>
      <c r="D383" s="5" t="s">
        <v>162</v>
      </c>
      <c r="F383" s="5" t="str">
        <f t="shared" si="23"/>
        <v>AMOVRM</v>
      </c>
      <c r="G383" s="6" t="s">
        <v>163</v>
      </c>
      <c r="H383" s="7" t="str">
        <f t="shared" si="24"/>
        <v>0x00A1</v>
      </c>
      <c r="I383" s="7"/>
      <c r="J383" s="5" t="s">
        <v>8</v>
      </c>
      <c r="K383" s="5" t="s">
        <v>11</v>
      </c>
    </row>
    <row r="384" spans="1:11" s="5" customFormat="1" hidden="1" x14ac:dyDescent="0.25">
      <c r="A384" s="1">
        <f t="shared" si="22"/>
        <v>0</v>
      </c>
      <c r="B384" s="5">
        <v>0</v>
      </c>
      <c r="C384" s="5" t="str">
        <f t="shared" si="25"/>
        <v>0x00</v>
      </c>
      <c r="D384" s="5" t="s">
        <v>164</v>
      </c>
      <c r="F384" s="5" t="str">
        <f t="shared" si="23"/>
        <v>INSQHILR</v>
      </c>
      <c r="G384" s="6" t="s">
        <v>165</v>
      </c>
      <c r="H384" s="7" t="str">
        <f t="shared" si="24"/>
        <v>0x00A2</v>
      </c>
      <c r="I384" s="7"/>
      <c r="J384" s="5" t="s">
        <v>8</v>
      </c>
      <c r="K384" s="5" t="s">
        <v>11</v>
      </c>
    </row>
    <row r="385" spans="1:11" s="5" customFormat="1" hidden="1" x14ac:dyDescent="0.25">
      <c r="A385" s="1">
        <f t="shared" ref="A385:A445" si="26">HEX2DEC(B385)</f>
        <v>0</v>
      </c>
      <c r="B385" s="5">
        <v>0</v>
      </c>
      <c r="C385" s="5" t="str">
        <f t="shared" si="25"/>
        <v>0x00</v>
      </c>
      <c r="D385" s="5" t="s">
        <v>166</v>
      </c>
      <c r="F385" s="5" t="str">
        <f t="shared" ref="F385:F445" si="27">IF(TRIM(E385)="",TRIM(D385),TRIM(D385)&amp;"_"&amp;TRIM(E385))</f>
        <v>INSQTILR</v>
      </c>
      <c r="G385" s="6" t="s">
        <v>167</v>
      </c>
      <c r="H385" s="7" t="str">
        <f t="shared" si="24"/>
        <v>0x00A3</v>
      </c>
      <c r="I385" s="7"/>
      <c r="J385" s="5" t="s">
        <v>8</v>
      </c>
      <c r="K385" s="5" t="s">
        <v>11</v>
      </c>
    </row>
    <row r="386" spans="1:11" s="5" customFormat="1" hidden="1" x14ac:dyDescent="0.25">
      <c r="A386" s="1">
        <f t="shared" si="26"/>
        <v>0</v>
      </c>
      <c r="B386" s="5">
        <v>0</v>
      </c>
      <c r="C386" s="5" t="str">
        <f t="shared" si="25"/>
        <v>0x00</v>
      </c>
      <c r="D386" s="5" t="s">
        <v>168</v>
      </c>
      <c r="F386" s="5" t="str">
        <f t="shared" si="27"/>
        <v>INSQHIQR</v>
      </c>
      <c r="G386" s="6" t="s">
        <v>169</v>
      </c>
      <c r="H386" s="7" t="str">
        <f t="shared" si="24"/>
        <v>0x00A4</v>
      </c>
      <c r="I386" s="7"/>
      <c r="J386" s="5" t="s">
        <v>8</v>
      </c>
      <c r="K386" s="5" t="s">
        <v>11</v>
      </c>
    </row>
    <row r="387" spans="1:11" s="5" customFormat="1" hidden="1" x14ac:dyDescent="0.25">
      <c r="A387" s="1">
        <f t="shared" si="26"/>
        <v>0</v>
      </c>
      <c r="B387" s="5">
        <v>0</v>
      </c>
      <c r="C387" s="5" t="str">
        <f t="shared" si="25"/>
        <v>0x00</v>
      </c>
      <c r="D387" s="5" t="s">
        <v>170</v>
      </c>
      <c r="F387" s="5" t="str">
        <f t="shared" si="27"/>
        <v>INSQTIQR</v>
      </c>
      <c r="G387" s="6" t="s">
        <v>171</v>
      </c>
      <c r="H387" s="7" t="str">
        <f t="shared" si="24"/>
        <v>0x00A5</v>
      </c>
      <c r="I387" s="7"/>
      <c r="J387" s="5" t="s">
        <v>8</v>
      </c>
      <c r="K387" s="5" t="s">
        <v>11</v>
      </c>
    </row>
    <row r="388" spans="1:11" hidden="1" x14ac:dyDescent="0.25">
      <c r="A388" s="1">
        <f t="shared" si="26"/>
        <v>0</v>
      </c>
      <c r="B388">
        <v>0</v>
      </c>
      <c r="C388" t="str">
        <f t="shared" si="25"/>
        <v>0x00</v>
      </c>
      <c r="D388" t="s">
        <v>172</v>
      </c>
      <c r="F388" t="str">
        <f t="shared" si="27"/>
        <v>REMQHILR</v>
      </c>
      <c r="G388" s="2" t="s">
        <v>173</v>
      </c>
      <c r="H388" s="3" t="str">
        <f t="shared" si="24"/>
        <v>0x00A6</v>
      </c>
      <c r="J388" t="s">
        <v>8</v>
      </c>
      <c r="K388" t="s">
        <v>11</v>
      </c>
    </row>
    <row r="389" spans="1:11" s="5" customFormat="1" hidden="1" x14ac:dyDescent="0.25">
      <c r="A389" s="1">
        <f t="shared" si="26"/>
        <v>0</v>
      </c>
      <c r="B389" s="5">
        <v>0</v>
      </c>
      <c r="C389" s="5" t="str">
        <f t="shared" si="25"/>
        <v>0x00</v>
      </c>
      <c r="D389" s="5" t="s">
        <v>174</v>
      </c>
      <c r="F389" s="5" t="str">
        <f t="shared" si="27"/>
        <v>REMQTILR</v>
      </c>
      <c r="G389" s="6" t="s">
        <v>175</v>
      </c>
      <c r="H389" s="7" t="str">
        <f t="shared" si="24"/>
        <v>0x00A7</v>
      </c>
      <c r="I389" s="7"/>
      <c r="J389" s="5" t="s">
        <v>8</v>
      </c>
      <c r="K389" s="5" t="s">
        <v>11</v>
      </c>
    </row>
    <row r="390" spans="1:11" s="5" customFormat="1" hidden="1" x14ac:dyDescent="0.25">
      <c r="A390" s="1">
        <f t="shared" si="26"/>
        <v>0</v>
      </c>
      <c r="B390" s="5">
        <v>0</v>
      </c>
      <c r="C390" s="5" t="str">
        <f t="shared" si="25"/>
        <v>0x00</v>
      </c>
      <c r="D390" s="5" t="s">
        <v>176</v>
      </c>
      <c r="F390" s="5" t="str">
        <f t="shared" si="27"/>
        <v>REMQTIQR</v>
      </c>
      <c r="G390" s="6" t="s">
        <v>177</v>
      </c>
      <c r="H390" s="7" t="str">
        <f t="shared" si="24"/>
        <v>0x00A9</v>
      </c>
      <c r="I390" s="7"/>
      <c r="J390" s="5" t="s">
        <v>8</v>
      </c>
      <c r="K390" s="5" t="s">
        <v>11</v>
      </c>
    </row>
    <row r="391" spans="1:11" s="5" customFormat="1" hidden="1" x14ac:dyDescent="0.25">
      <c r="A391" s="1">
        <f t="shared" si="26"/>
        <v>0</v>
      </c>
      <c r="B391" s="5">
        <v>0</v>
      </c>
      <c r="C391" s="5" t="str">
        <f t="shared" si="25"/>
        <v>0x00</v>
      </c>
      <c r="D391" s="5" t="s">
        <v>178</v>
      </c>
      <c r="F391" s="5" t="str">
        <f t="shared" si="27"/>
        <v>GENTRAP</v>
      </c>
      <c r="G391" s="6" t="s">
        <v>179</v>
      </c>
      <c r="H391" s="7" t="str">
        <f t="shared" si="24"/>
        <v>0x00AA</v>
      </c>
      <c r="I391" s="7"/>
      <c r="J391" s="5" t="s">
        <v>8</v>
      </c>
      <c r="K391" s="5" t="s">
        <v>11</v>
      </c>
    </row>
    <row r="392" spans="1:11" s="5" customFormat="1" hidden="1" x14ac:dyDescent="0.25">
      <c r="A392" s="1">
        <f t="shared" si="26"/>
        <v>0</v>
      </c>
      <c r="B392" s="5">
        <v>0</v>
      </c>
      <c r="C392" s="5" t="str">
        <f t="shared" si="25"/>
        <v>0x00</v>
      </c>
      <c r="D392" s="5" t="s">
        <v>180</v>
      </c>
      <c r="F392" s="5" t="str">
        <f t="shared" si="27"/>
        <v>RDTEB</v>
      </c>
      <c r="G392" s="6" t="s">
        <v>181</v>
      </c>
      <c r="H392" s="7" t="str">
        <f t="shared" si="24"/>
        <v>0x00AB</v>
      </c>
      <c r="I392" s="7"/>
      <c r="J392" s="5" t="s">
        <v>8</v>
      </c>
      <c r="K392" s="5" t="s">
        <v>11</v>
      </c>
    </row>
    <row r="393" spans="1:11" hidden="1" x14ac:dyDescent="0.25">
      <c r="A393" s="1">
        <f t="shared" si="26"/>
        <v>0</v>
      </c>
      <c r="B393">
        <v>0</v>
      </c>
      <c r="C393" t="str">
        <f t="shared" si="25"/>
        <v>0x00</v>
      </c>
      <c r="D393" t="s">
        <v>182</v>
      </c>
      <c r="F393" t="str">
        <f t="shared" si="27"/>
        <v>KBPT</v>
      </c>
      <c r="G393" s="2" t="s">
        <v>183</v>
      </c>
      <c r="H393" s="3" t="str">
        <f t="shared" si="24"/>
        <v>0x00AC</v>
      </c>
      <c r="J393" t="s">
        <v>8</v>
      </c>
      <c r="K393" t="s">
        <v>11</v>
      </c>
    </row>
    <row r="394" spans="1:11" hidden="1" x14ac:dyDescent="0.25">
      <c r="A394" s="1">
        <f t="shared" si="26"/>
        <v>0</v>
      </c>
      <c r="B394">
        <v>0</v>
      </c>
      <c r="C394" t="str">
        <f t="shared" si="25"/>
        <v>0x00</v>
      </c>
      <c r="D394" t="s">
        <v>184</v>
      </c>
      <c r="F394" t="str">
        <f t="shared" si="27"/>
        <v>CALLKD</v>
      </c>
      <c r="G394" s="2" t="s">
        <v>185</v>
      </c>
      <c r="H394" s="3" t="str">
        <f t="shared" si="24"/>
        <v>0x00AD</v>
      </c>
      <c r="J394" t="s">
        <v>8</v>
      </c>
      <c r="K394" t="s">
        <v>11</v>
      </c>
    </row>
    <row r="395" spans="1:11" hidden="1" x14ac:dyDescent="0.25">
      <c r="A395" s="1">
        <f t="shared" si="26"/>
        <v>21</v>
      </c>
      <c r="B395">
        <v>15</v>
      </c>
      <c r="C395" t="str">
        <f t="shared" si="25"/>
        <v>0x15</v>
      </c>
      <c r="D395" t="s">
        <v>380</v>
      </c>
      <c r="E395" t="s">
        <v>377</v>
      </c>
      <c r="F395" t="str">
        <f t="shared" si="27"/>
        <v>CVTDG_IC</v>
      </c>
      <c r="G395" s="2" t="s">
        <v>381</v>
      </c>
      <c r="H395" s="3" t="str">
        <f t="shared" si="24"/>
        <v>0x001E</v>
      </c>
      <c r="J395" t="s">
        <v>317</v>
      </c>
      <c r="K395" t="s">
        <v>240</v>
      </c>
    </row>
    <row r="396" spans="1:11" hidden="1" x14ac:dyDescent="0.25">
      <c r="A396" s="1">
        <f t="shared" si="26"/>
        <v>21</v>
      </c>
      <c r="B396">
        <v>15</v>
      </c>
      <c r="C396" t="str">
        <f t="shared" si="25"/>
        <v>0x15</v>
      </c>
      <c r="D396" t="s">
        <v>382</v>
      </c>
      <c r="E396" t="s">
        <v>396</v>
      </c>
      <c r="F396" t="str">
        <f t="shared" si="27"/>
        <v>ADDG_C</v>
      </c>
      <c r="G396" s="2" t="s">
        <v>383</v>
      </c>
      <c r="H396" s="3" t="str">
        <f t="shared" si="24"/>
        <v>0x0020</v>
      </c>
      <c r="J396" t="s">
        <v>317</v>
      </c>
      <c r="K396" t="s">
        <v>240</v>
      </c>
    </row>
    <row r="397" spans="1:11" hidden="1" x14ac:dyDescent="0.25">
      <c r="A397" s="1">
        <f t="shared" si="26"/>
        <v>21</v>
      </c>
      <c r="B397">
        <v>15</v>
      </c>
      <c r="C397" t="str">
        <f t="shared" si="25"/>
        <v>0x15</v>
      </c>
      <c r="D397" t="s">
        <v>384</v>
      </c>
      <c r="E397" t="s">
        <v>377</v>
      </c>
      <c r="F397" t="str">
        <f t="shared" si="27"/>
        <v>SUBG_IC</v>
      </c>
      <c r="G397" s="2" t="s">
        <v>385</v>
      </c>
      <c r="H397" s="3" t="str">
        <f t="shared" si="24"/>
        <v>0x0021</v>
      </c>
      <c r="J397" t="s">
        <v>317</v>
      </c>
      <c r="K397" t="s">
        <v>240</v>
      </c>
    </row>
    <row r="398" spans="1:11" hidden="1" x14ac:dyDescent="0.25">
      <c r="A398" s="1">
        <f t="shared" si="26"/>
        <v>21</v>
      </c>
      <c r="B398">
        <v>15</v>
      </c>
      <c r="C398" t="str">
        <f t="shared" si="25"/>
        <v>0x15</v>
      </c>
      <c r="D398" t="s">
        <v>386</v>
      </c>
      <c r="E398" t="s">
        <v>377</v>
      </c>
      <c r="F398" t="str">
        <f t="shared" si="27"/>
        <v>MULG_IC</v>
      </c>
      <c r="G398" s="2" t="s">
        <v>387</v>
      </c>
      <c r="H398" s="3" t="str">
        <f t="shared" si="24"/>
        <v>0x0022</v>
      </c>
      <c r="J398" t="s">
        <v>317</v>
      </c>
      <c r="K398" t="s">
        <v>240</v>
      </c>
    </row>
    <row r="399" spans="1:11" s="5" customFormat="1" hidden="1" x14ac:dyDescent="0.25">
      <c r="A399" s="1">
        <f t="shared" si="26"/>
        <v>21</v>
      </c>
      <c r="B399" s="5">
        <v>15</v>
      </c>
      <c r="C399" s="5" t="str">
        <f t="shared" si="25"/>
        <v>0x15</v>
      </c>
      <c r="D399" s="5" t="s">
        <v>388</v>
      </c>
      <c r="E399" s="5" t="s">
        <v>396</v>
      </c>
      <c r="F399" s="5" t="str">
        <f t="shared" si="27"/>
        <v>DIVG_C</v>
      </c>
      <c r="G399" s="6" t="s">
        <v>389</v>
      </c>
      <c r="H399" s="7" t="str">
        <f t="shared" si="24"/>
        <v>0x0023</v>
      </c>
      <c r="I399" s="7"/>
      <c r="J399" s="5" t="s">
        <v>317</v>
      </c>
      <c r="K399" s="5" t="s">
        <v>240</v>
      </c>
    </row>
    <row r="400" spans="1:11" hidden="1" x14ac:dyDescent="0.25">
      <c r="A400" s="1">
        <f t="shared" si="26"/>
        <v>21</v>
      </c>
      <c r="B400">
        <v>15</v>
      </c>
      <c r="C400" t="str">
        <f t="shared" si="25"/>
        <v>0x15</v>
      </c>
      <c r="D400" t="s">
        <v>390</v>
      </c>
      <c r="E400" t="s">
        <v>377</v>
      </c>
      <c r="F400" t="str">
        <f t="shared" si="27"/>
        <v>CVTGF_IC</v>
      </c>
      <c r="G400" s="2" t="s">
        <v>391</v>
      </c>
      <c r="H400" s="3" t="str">
        <f t="shared" si="24"/>
        <v>0x002C</v>
      </c>
      <c r="J400" t="s">
        <v>317</v>
      </c>
      <c r="K400" t="s">
        <v>240</v>
      </c>
    </row>
    <row r="401" spans="1:11" hidden="1" x14ac:dyDescent="0.25">
      <c r="A401" s="1">
        <f t="shared" si="26"/>
        <v>21</v>
      </c>
      <c r="B401">
        <v>15</v>
      </c>
      <c r="C401" t="str">
        <f t="shared" si="25"/>
        <v>0x15</v>
      </c>
      <c r="D401" t="s">
        <v>392</v>
      </c>
      <c r="E401" t="s">
        <v>377</v>
      </c>
      <c r="F401" t="str">
        <f t="shared" si="27"/>
        <v>CVTGD_IC</v>
      </c>
      <c r="G401" s="2" t="s">
        <v>393</v>
      </c>
      <c r="H401" s="3" t="str">
        <f t="shared" si="24"/>
        <v>0x002D</v>
      </c>
      <c r="J401" t="s">
        <v>317</v>
      </c>
      <c r="K401" t="s">
        <v>240</v>
      </c>
    </row>
    <row r="402" spans="1:11" hidden="1" x14ac:dyDescent="0.25">
      <c r="A402" s="1">
        <f t="shared" si="26"/>
        <v>21</v>
      </c>
      <c r="B402">
        <v>15</v>
      </c>
      <c r="C402" t="str">
        <f t="shared" si="25"/>
        <v>0x15</v>
      </c>
      <c r="D402" t="s">
        <v>315</v>
      </c>
      <c r="E402" t="s">
        <v>377</v>
      </c>
      <c r="F402" t="str">
        <f t="shared" si="27"/>
        <v>CVTGQ_IC</v>
      </c>
      <c r="G402" s="2" t="s">
        <v>394</v>
      </c>
      <c r="H402" s="3" t="str">
        <f t="shared" si="24"/>
        <v>0x002F</v>
      </c>
      <c r="J402" t="s">
        <v>317</v>
      </c>
      <c r="K402" t="s">
        <v>240</v>
      </c>
    </row>
    <row r="403" spans="1:11" hidden="1" x14ac:dyDescent="0.25">
      <c r="A403" s="1">
        <f t="shared" si="26"/>
        <v>21</v>
      </c>
      <c r="B403">
        <v>15</v>
      </c>
      <c r="C403" t="str">
        <f t="shared" si="25"/>
        <v>0x15</v>
      </c>
      <c r="D403" t="s">
        <v>395</v>
      </c>
      <c r="E403" t="s">
        <v>396</v>
      </c>
      <c r="F403" t="str">
        <f t="shared" si="27"/>
        <v>CVTBQ_C</v>
      </c>
      <c r="G403" s="2" t="s">
        <v>394</v>
      </c>
      <c r="H403" s="3" t="str">
        <f t="shared" si="24"/>
        <v>0x002F</v>
      </c>
      <c r="J403" t="s">
        <v>317</v>
      </c>
      <c r="K403" t="s">
        <v>240</v>
      </c>
    </row>
    <row r="404" spans="1:11" hidden="1" x14ac:dyDescent="0.25">
      <c r="A404" s="1">
        <f t="shared" si="26"/>
        <v>21</v>
      </c>
      <c r="B404">
        <v>15</v>
      </c>
      <c r="C404" t="str">
        <f t="shared" si="25"/>
        <v>0x15</v>
      </c>
      <c r="D404" t="s">
        <v>397</v>
      </c>
      <c r="E404" t="s">
        <v>377</v>
      </c>
      <c r="F404" t="str">
        <f t="shared" si="27"/>
        <v>CVTQF_IC</v>
      </c>
      <c r="G404" s="2" t="s">
        <v>398</v>
      </c>
      <c r="H404" s="3" t="str">
        <f t="shared" si="24"/>
        <v>0x003C</v>
      </c>
      <c r="J404" t="s">
        <v>317</v>
      </c>
      <c r="K404" t="s">
        <v>240</v>
      </c>
    </row>
    <row r="405" spans="1:11" hidden="1" x14ac:dyDescent="0.25">
      <c r="A405" s="1">
        <f t="shared" si="26"/>
        <v>21</v>
      </c>
      <c r="B405">
        <v>15</v>
      </c>
      <c r="C405" t="str">
        <f t="shared" si="25"/>
        <v>0x15</v>
      </c>
      <c r="D405" t="s">
        <v>399</v>
      </c>
      <c r="E405" t="s">
        <v>377</v>
      </c>
      <c r="F405" t="str">
        <f t="shared" si="27"/>
        <v>CVTQG_IC</v>
      </c>
      <c r="G405" s="2" t="s">
        <v>400</v>
      </c>
      <c r="H405" s="3" t="str">
        <f t="shared" si="24"/>
        <v>0x003E</v>
      </c>
      <c r="J405" t="s">
        <v>317</v>
      </c>
      <c r="K405" t="s">
        <v>240</v>
      </c>
    </row>
    <row r="406" spans="1:11" hidden="1" x14ac:dyDescent="0.25">
      <c r="A406" s="1">
        <f t="shared" si="26"/>
        <v>0</v>
      </c>
      <c r="B406">
        <v>0</v>
      </c>
      <c r="C406" t="str">
        <f t="shared" si="25"/>
        <v>0x00</v>
      </c>
      <c r="D406" t="s">
        <v>18</v>
      </c>
      <c r="F406" t="str">
        <f t="shared" si="27"/>
        <v>INITPAL</v>
      </c>
      <c r="G406" s="2" t="s">
        <v>186</v>
      </c>
      <c r="H406" s="3" t="str">
        <f t="shared" si="24"/>
        <v>0x0004</v>
      </c>
      <c r="J406" t="s">
        <v>14</v>
      </c>
      <c r="K406" t="s">
        <v>11</v>
      </c>
    </row>
    <row r="407" spans="1:11" hidden="1" x14ac:dyDescent="0.25">
      <c r="A407" s="1">
        <f t="shared" si="26"/>
        <v>0</v>
      </c>
      <c r="B407">
        <v>0</v>
      </c>
      <c r="C407" t="str">
        <f t="shared" si="25"/>
        <v>0x00</v>
      </c>
      <c r="D407" t="s">
        <v>187</v>
      </c>
      <c r="F407" t="str">
        <f t="shared" si="27"/>
        <v>WRENTRY</v>
      </c>
      <c r="G407" s="2" t="s">
        <v>188</v>
      </c>
      <c r="H407" s="3" t="str">
        <f t="shared" si="24"/>
        <v>0x0005</v>
      </c>
      <c r="J407" t="s">
        <v>14</v>
      </c>
      <c r="K407" t="s">
        <v>11</v>
      </c>
    </row>
    <row r="408" spans="1:11" hidden="1" x14ac:dyDescent="0.25">
      <c r="A408" s="1">
        <f t="shared" si="26"/>
        <v>0</v>
      </c>
      <c r="B408">
        <v>0</v>
      </c>
      <c r="C408" t="str">
        <f t="shared" si="25"/>
        <v>0x00</v>
      </c>
      <c r="D408" t="s">
        <v>22</v>
      </c>
      <c r="F408" t="str">
        <f t="shared" si="27"/>
        <v>SWPIRQL</v>
      </c>
      <c r="G408" s="2" t="s">
        <v>189</v>
      </c>
      <c r="H408" s="3" t="str">
        <f t="shared" si="24"/>
        <v>0x0006</v>
      </c>
      <c r="J408" t="s">
        <v>14</v>
      </c>
      <c r="K408" t="s">
        <v>11</v>
      </c>
    </row>
    <row r="409" spans="1:11" s="5" customFormat="1" hidden="1" x14ac:dyDescent="0.25">
      <c r="A409" s="1">
        <f t="shared" si="26"/>
        <v>0</v>
      </c>
      <c r="B409" s="5">
        <v>0</v>
      </c>
      <c r="C409" s="5" t="str">
        <f t="shared" si="25"/>
        <v>0x00</v>
      </c>
      <c r="D409" s="5" t="s">
        <v>24</v>
      </c>
      <c r="F409" s="5" t="str">
        <f t="shared" si="27"/>
        <v>RDIRQL</v>
      </c>
      <c r="G409" s="6" t="s">
        <v>190</v>
      </c>
      <c r="H409" s="7" t="str">
        <f t="shared" ref="H409:H470" si="28">"0x"&amp;RIGHT("0000"&amp;UPPER(SUBSTITUTE(TRIM(G409),"0X","")),4)</f>
        <v>0x0007</v>
      </c>
      <c r="I409" s="7"/>
      <c r="J409" s="5" t="s">
        <v>14</v>
      </c>
      <c r="K409" s="5" t="s">
        <v>11</v>
      </c>
    </row>
    <row r="410" spans="1:11" hidden="1" x14ac:dyDescent="0.25">
      <c r="A410" s="1">
        <f t="shared" si="26"/>
        <v>0</v>
      </c>
      <c r="B410">
        <v>0</v>
      </c>
      <c r="C410" t="str">
        <f t="shared" si="25"/>
        <v>0x00</v>
      </c>
      <c r="D410" t="s">
        <v>26</v>
      </c>
      <c r="F410" t="str">
        <f t="shared" si="27"/>
        <v>DI</v>
      </c>
      <c r="G410" s="2" t="s">
        <v>191</v>
      </c>
      <c r="H410" s="3" t="str">
        <f t="shared" si="28"/>
        <v>0x0008</v>
      </c>
      <c r="J410" t="s">
        <v>14</v>
      </c>
      <c r="K410" t="s">
        <v>11</v>
      </c>
    </row>
    <row r="411" spans="1:11" hidden="1" x14ac:dyDescent="0.25">
      <c r="A411" s="1">
        <f t="shared" si="26"/>
        <v>21</v>
      </c>
      <c r="B411">
        <v>15</v>
      </c>
      <c r="C411" t="str">
        <f t="shared" si="25"/>
        <v>0x15</v>
      </c>
      <c r="D411" t="s">
        <v>373</v>
      </c>
      <c r="F411" t="str">
        <f t="shared" si="27"/>
        <v>ADDF</v>
      </c>
      <c r="G411" s="2" t="s">
        <v>401</v>
      </c>
      <c r="H411" s="3" t="str">
        <f t="shared" si="28"/>
        <v>0x0080</v>
      </c>
      <c r="J411" t="s">
        <v>317</v>
      </c>
      <c r="K411" t="s">
        <v>240</v>
      </c>
    </row>
    <row r="412" spans="1:11" x14ac:dyDescent="0.25">
      <c r="A412" s="1">
        <f t="shared" si="26"/>
        <v>21</v>
      </c>
      <c r="B412">
        <v>15</v>
      </c>
      <c r="C412" t="str">
        <f t="shared" si="25"/>
        <v>0x15</v>
      </c>
      <c r="D412" t="s">
        <v>374</v>
      </c>
      <c r="F412" t="str">
        <f t="shared" si="27"/>
        <v>SUBF</v>
      </c>
      <c r="G412" s="2" t="s">
        <v>402</v>
      </c>
      <c r="H412" s="3" t="str">
        <f t="shared" si="28"/>
        <v>0x0081</v>
      </c>
      <c r="J412" t="s">
        <v>317</v>
      </c>
      <c r="K412" t="s">
        <v>240</v>
      </c>
    </row>
    <row r="413" spans="1:11" hidden="1" x14ac:dyDescent="0.25">
      <c r="A413" s="1">
        <f t="shared" si="26"/>
        <v>21</v>
      </c>
      <c r="B413">
        <v>15</v>
      </c>
      <c r="C413" t="str">
        <f t="shared" si="25"/>
        <v>0x15</v>
      </c>
      <c r="D413" t="s">
        <v>375</v>
      </c>
      <c r="F413" t="str">
        <f t="shared" si="27"/>
        <v>MULF</v>
      </c>
      <c r="G413" s="2" t="s">
        <v>403</v>
      </c>
      <c r="H413" s="3" t="str">
        <f t="shared" si="28"/>
        <v>0x0082</v>
      </c>
      <c r="J413" t="s">
        <v>317</v>
      </c>
      <c r="K413" t="s">
        <v>240</v>
      </c>
    </row>
    <row r="414" spans="1:11" s="5" customFormat="1" hidden="1" x14ac:dyDescent="0.25">
      <c r="A414" s="1">
        <f t="shared" si="26"/>
        <v>0</v>
      </c>
      <c r="B414" s="5">
        <v>0</v>
      </c>
      <c r="C414" s="5" t="str">
        <f t="shared" ref="C414:C475" si="29">"0x"&amp;TEXT(DEC2HEX(A414),"00")</f>
        <v>0x00</v>
      </c>
      <c r="D414" s="5" t="s">
        <v>192</v>
      </c>
      <c r="F414" s="5" t="str">
        <f t="shared" si="27"/>
        <v>EI</v>
      </c>
      <c r="G414" s="6" t="s">
        <v>193</v>
      </c>
      <c r="H414" s="7" t="str">
        <f t="shared" si="28"/>
        <v>0x0009</v>
      </c>
      <c r="I414" s="7"/>
      <c r="J414" s="5" t="s">
        <v>14</v>
      </c>
      <c r="K414" s="5" t="s">
        <v>11</v>
      </c>
    </row>
    <row r="415" spans="1:11" hidden="1" x14ac:dyDescent="0.25">
      <c r="A415" s="1">
        <f t="shared" si="26"/>
        <v>21</v>
      </c>
      <c r="B415">
        <v>15</v>
      </c>
      <c r="C415" t="str">
        <f t="shared" si="29"/>
        <v>0x15</v>
      </c>
      <c r="D415" t="s">
        <v>380</v>
      </c>
      <c r="E415" t="s">
        <v>217</v>
      </c>
      <c r="F415" t="str">
        <f t="shared" si="27"/>
        <v>CVTDG</v>
      </c>
      <c r="G415" s="2" t="s">
        <v>404</v>
      </c>
      <c r="H415" s="3" t="str">
        <f t="shared" si="28"/>
        <v>0x009E</v>
      </c>
      <c r="J415" t="s">
        <v>14</v>
      </c>
      <c r="K415" t="s">
        <v>240</v>
      </c>
    </row>
    <row r="416" spans="1:11" hidden="1" x14ac:dyDescent="0.25">
      <c r="A416" s="1">
        <f t="shared" si="26"/>
        <v>0</v>
      </c>
      <c r="B416">
        <v>0</v>
      </c>
      <c r="C416" t="str">
        <f t="shared" si="29"/>
        <v>0x00</v>
      </c>
      <c r="D416" t="s">
        <v>88</v>
      </c>
      <c r="F416" t="str">
        <f t="shared" si="27"/>
        <v>SWPPAL</v>
      </c>
      <c r="G416" s="2" t="s">
        <v>194</v>
      </c>
      <c r="H416" s="3" t="str">
        <f t="shared" si="28"/>
        <v>0x000A</v>
      </c>
      <c r="J416" t="s">
        <v>14</v>
      </c>
      <c r="K416" t="s">
        <v>11</v>
      </c>
    </row>
    <row r="417" spans="1:11" s="5" customFormat="1" hidden="1" x14ac:dyDescent="0.25">
      <c r="A417" s="1">
        <f t="shared" si="26"/>
        <v>21</v>
      </c>
      <c r="B417" s="5">
        <v>15</v>
      </c>
      <c r="C417" s="5" t="str">
        <f t="shared" si="29"/>
        <v>0x15</v>
      </c>
      <c r="D417" s="5" t="s">
        <v>382</v>
      </c>
      <c r="E417" s="5" t="s">
        <v>217</v>
      </c>
      <c r="F417" s="5" t="str">
        <f t="shared" si="27"/>
        <v>ADDG</v>
      </c>
      <c r="G417" s="6" t="s">
        <v>408</v>
      </c>
      <c r="H417" s="7" t="str">
        <f t="shared" si="28"/>
        <v>0x00A3</v>
      </c>
      <c r="I417" s="7"/>
      <c r="J417" s="5" t="s">
        <v>14</v>
      </c>
      <c r="K417" s="5" t="s">
        <v>240</v>
      </c>
    </row>
    <row r="418" spans="1:11" hidden="1" x14ac:dyDescent="0.25">
      <c r="A418" s="1">
        <f t="shared" si="26"/>
        <v>21</v>
      </c>
      <c r="B418">
        <v>15</v>
      </c>
      <c r="C418" t="str">
        <f t="shared" si="29"/>
        <v>0x15</v>
      </c>
      <c r="D418" t="s">
        <v>384</v>
      </c>
      <c r="E418" t="s">
        <v>217</v>
      </c>
      <c r="F418" t="str">
        <f t="shared" si="27"/>
        <v>SUBG</v>
      </c>
      <c r="G418" s="2" t="s">
        <v>406</v>
      </c>
      <c r="H418" s="3" t="str">
        <f t="shared" si="28"/>
        <v>0x00A1</v>
      </c>
      <c r="J418" t="s">
        <v>14</v>
      </c>
      <c r="K418" t="s">
        <v>240</v>
      </c>
    </row>
    <row r="419" spans="1:11" hidden="1" x14ac:dyDescent="0.25">
      <c r="A419" s="1">
        <f t="shared" si="26"/>
        <v>21</v>
      </c>
      <c r="B419">
        <v>15</v>
      </c>
      <c r="C419" t="str">
        <f t="shared" si="29"/>
        <v>0x15</v>
      </c>
      <c r="D419" t="s">
        <v>386</v>
      </c>
      <c r="E419" t="s">
        <v>217</v>
      </c>
      <c r="F419" t="str">
        <f t="shared" si="27"/>
        <v>MULG</v>
      </c>
      <c r="G419" s="2" t="s">
        <v>407</v>
      </c>
      <c r="H419" s="3" t="str">
        <f t="shared" si="28"/>
        <v>0x00A2</v>
      </c>
      <c r="J419" t="s">
        <v>14</v>
      </c>
      <c r="K419" t="s">
        <v>240</v>
      </c>
    </row>
    <row r="420" spans="1:11" s="5" customFormat="1" hidden="1" x14ac:dyDescent="0.25">
      <c r="A420" s="1">
        <f t="shared" si="26"/>
        <v>21</v>
      </c>
      <c r="B420" s="5">
        <v>15</v>
      </c>
      <c r="C420" s="5" t="str">
        <f t="shared" si="29"/>
        <v>0x15</v>
      </c>
      <c r="D420" s="5" t="s">
        <v>388</v>
      </c>
      <c r="E420" s="5" t="s">
        <v>217</v>
      </c>
      <c r="F420" s="5" t="str">
        <f t="shared" si="27"/>
        <v>DIVG</v>
      </c>
      <c r="G420" s="6" t="s">
        <v>408</v>
      </c>
      <c r="H420" s="7" t="str">
        <f t="shared" si="28"/>
        <v>0x00A3</v>
      </c>
      <c r="I420" s="7"/>
      <c r="J420" s="5" t="s">
        <v>14</v>
      </c>
      <c r="K420" s="5" t="s">
        <v>240</v>
      </c>
    </row>
    <row r="421" spans="1:11" s="5" customFormat="1" hidden="1" x14ac:dyDescent="0.25">
      <c r="A421" s="1">
        <f t="shared" si="26"/>
        <v>21</v>
      </c>
      <c r="B421" s="5">
        <v>15</v>
      </c>
      <c r="C421" s="5" t="str">
        <f t="shared" si="29"/>
        <v>0x15</v>
      </c>
      <c r="D421" s="5" t="s">
        <v>409</v>
      </c>
      <c r="E421" s="5" t="s">
        <v>217</v>
      </c>
      <c r="F421" s="5" t="str">
        <f t="shared" si="27"/>
        <v>CMPGEQ</v>
      </c>
      <c r="G421" s="6" t="s">
        <v>410</v>
      </c>
      <c r="H421" s="7" t="str">
        <f t="shared" si="28"/>
        <v>0x00A5</v>
      </c>
      <c r="I421" s="7"/>
      <c r="J421" s="5" t="s">
        <v>14</v>
      </c>
      <c r="K421" s="5" t="s">
        <v>240</v>
      </c>
    </row>
    <row r="422" spans="1:11" s="5" customFormat="1" hidden="1" x14ac:dyDescent="0.25">
      <c r="A422" s="1">
        <f t="shared" si="26"/>
        <v>21</v>
      </c>
      <c r="B422" s="5">
        <v>15</v>
      </c>
      <c r="C422" s="5" t="str">
        <f t="shared" si="29"/>
        <v>0x15</v>
      </c>
      <c r="D422" s="5" t="s">
        <v>411</v>
      </c>
      <c r="E422" s="5" t="s">
        <v>217</v>
      </c>
      <c r="F422" s="5" t="str">
        <f t="shared" si="27"/>
        <v>CMPGLT</v>
      </c>
      <c r="G422" s="6" t="s">
        <v>412</v>
      </c>
      <c r="H422" s="7" t="str">
        <f t="shared" si="28"/>
        <v>0x00A6</v>
      </c>
      <c r="I422" s="7"/>
      <c r="J422" s="5" t="s">
        <v>14</v>
      </c>
      <c r="K422" s="5" t="s">
        <v>240</v>
      </c>
    </row>
    <row r="423" spans="1:11" s="5" customFormat="1" hidden="1" x14ac:dyDescent="0.25">
      <c r="A423" s="1">
        <f t="shared" si="26"/>
        <v>21</v>
      </c>
      <c r="B423" s="5">
        <v>15</v>
      </c>
      <c r="C423" s="5" t="str">
        <f t="shared" si="29"/>
        <v>0x15</v>
      </c>
      <c r="D423" s="5" t="s">
        <v>413</v>
      </c>
      <c r="E423" s="5" t="s">
        <v>342</v>
      </c>
      <c r="F423" s="5" t="str">
        <f t="shared" si="27"/>
        <v>CMPGLE_S</v>
      </c>
      <c r="G423" s="6" t="s">
        <v>414</v>
      </c>
      <c r="H423" s="7" t="str">
        <f t="shared" si="28"/>
        <v>0x00A7</v>
      </c>
      <c r="I423" s="7"/>
      <c r="J423" s="5" t="s">
        <v>317</v>
      </c>
      <c r="K423" s="5" t="s">
        <v>240</v>
      </c>
    </row>
    <row r="424" spans="1:11" hidden="1" x14ac:dyDescent="0.25">
      <c r="A424" s="1">
        <f t="shared" si="26"/>
        <v>21</v>
      </c>
      <c r="B424">
        <v>15</v>
      </c>
      <c r="C424" t="str">
        <f t="shared" si="29"/>
        <v>0x15</v>
      </c>
      <c r="D424" t="s">
        <v>390</v>
      </c>
      <c r="E424" t="s">
        <v>217</v>
      </c>
      <c r="F424" t="str">
        <f t="shared" si="27"/>
        <v>CVTGF</v>
      </c>
      <c r="G424" s="2" t="s">
        <v>415</v>
      </c>
      <c r="H424" s="3" t="str">
        <f t="shared" si="28"/>
        <v>0x00AC</v>
      </c>
      <c r="J424" t="s">
        <v>14</v>
      </c>
      <c r="K424" t="s">
        <v>240</v>
      </c>
    </row>
    <row r="425" spans="1:11" hidden="1" x14ac:dyDescent="0.25">
      <c r="A425" s="1">
        <f t="shared" si="26"/>
        <v>21</v>
      </c>
      <c r="B425">
        <v>15</v>
      </c>
      <c r="C425" t="str">
        <f t="shared" si="29"/>
        <v>0x15</v>
      </c>
      <c r="D425" t="s">
        <v>392</v>
      </c>
      <c r="F425" t="str">
        <f t="shared" si="27"/>
        <v>CVTGD</v>
      </c>
      <c r="G425" s="2" t="s">
        <v>416</v>
      </c>
      <c r="H425" s="3" t="str">
        <f t="shared" si="28"/>
        <v>0x00AD</v>
      </c>
      <c r="J425" t="s">
        <v>417</v>
      </c>
      <c r="K425" t="s">
        <v>240</v>
      </c>
    </row>
    <row r="426" spans="1:11" hidden="1" x14ac:dyDescent="0.25">
      <c r="A426" s="1">
        <f t="shared" si="26"/>
        <v>20</v>
      </c>
      <c r="B426">
        <v>14</v>
      </c>
      <c r="C426" t="str">
        <f t="shared" si="29"/>
        <v>0x14</v>
      </c>
      <c r="D426" t="s">
        <v>315</v>
      </c>
      <c r="F426" t="str">
        <f t="shared" si="27"/>
        <v>CVTGQ</v>
      </c>
      <c r="G426" s="2" t="s">
        <v>316</v>
      </c>
      <c r="H426" s="3" t="str">
        <f t="shared" si="28"/>
        <v>0x00AF</v>
      </c>
      <c r="J426" t="s">
        <v>317</v>
      </c>
      <c r="K426" t="s">
        <v>240</v>
      </c>
    </row>
    <row r="427" spans="1:11" hidden="1" x14ac:dyDescent="0.25">
      <c r="A427" s="1">
        <f t="shared" si="26"/>
        <v>21</v>
      </c>
      <c r="B427">
        <v>15</v>
      </c>
      <c r="C427" t="str">
        <f t="shared" si="29"/>
        <v>0x15</v>
      </c>
      <c r="D427" t="s">
        <v>315</v>
      </c>
      <c r="E427" t="s">
        <v>217</v>
      </c>
      <c r="F427" t="str">
        <f t="shared" si="27"/>
        <v>CVTGQ</v>
      </c>
      <c r="G427" s="2" t="s">
        <v>316</v>
      </c>
      <c r="H427" s="3" t="str">
        <f t="shared" si="28"/>
        <v>0x00AF</v>
      </c>
      <c r="J427" t="s">
        <v>417</v>
      </c>
      <c r="K427" t="s">
        <v>240</v>
      </c>
    </row>
    <row r="428" spans="1:11" hidden="1" x14ac:dyDescent="0.25">
      <c r="A428" s="1">
        <f t="shared" si="26"/>
        <v>16</v>
      </c>
      <c r="B428">
        <v>10</v>
      </c>
      <c r="C428" t="str">
        <f t="shared" si="29"/>
        <v>0x10</v>
      </c>
      <c r="D428" t="s">
        <v>253</v>
      </c>
      <c r="E428" t="s">
        <v>217</v>
      </c>
      <c r="F428" t="str">
        <f t="shared" si="27"/>
        <v>S4SUBL</v>
      </c>
      <c r="G428" s="2" t="s">
        <v>232</v>
      </c>
      <c r="H428" s="3" t="str">
        <f t="shared" si="28"/>
        <v>0x000B</v>
      </c>
      <c r="J428" t="s">
        <v>14</v>
      </c>
      <c r="K428" t="s">
        <v>236</v>
      </c>
    </row>
    <row r="429" spans="1:11" s="5" customFormat="1" hidden="1" x14ac:dyDescent="0.25">
      <c r="A429" s="1">
        <f t="shared" si="26"/>
        <v>18</v>
      </c>
      <c r="B429" s="5">
        <v>12</v>
      </c>
      <c r="C429" s="5" t="str">
        <f t="shared" si="29"/>
        <v>0x12</v>
      </c>
      <c r="D429" s="5" t="s">
        <v>298</v>
      </c>
      <c r="E429" s="5" t="s">
        <v>217</v>
      </c>
      <c r="F429" s="5" t="str">
        <f t="shared" si="27"/>
        <v>INSBL</v>
      </c>
      <c r="G429" s="6" t="s">
        <v>232</v>
      </c>
      <c r="H429" s="7" t="str">
        <f t="shared" si="28"/>
        <v>0x000B</v>
      </c>
      <c r="I429" s="7"/>
      <c r="J429" s="5" t="s">
        <v>14</v>
      </c>
      <c r="K429" s="5" t="s">
        <v>236</v>
      </c>
    </row>
    <row r="430" spans="1:11" hidden="1" x14ac:dyDescent="0.25">
      <c r="A430" s="1">
        <f t="shared" si="26"/>
        <v>21</v>
      </c>
      <c r="B430">
        <v>15</v>
      </c>
      <c r="C430" t="str">
        <f t="shared" si="29"/>
        <v>0x15</v>
      </c>
      <c r="D430" t="s">
        <v>397</v>
      </c>
      <c r="E430" t="s">
        <v>217</v>
      </c>
      <c r="F430" t="str">
        <f t="shared" si="27"/>
        <v>CVTQF</v>
      </c>
      <c r="G430" s="2" t="s">
        <v>418</v>
      </c>
      <c r="H430" s="3" t="str">
        <f t="shared" si="28"/>
        <v>0x00BC</v>
      </c>
      <c r="J430" t="s">
        <v>417</v>
      </c>
      <c r="K430" t="s">
        <v>240</v>
      </c>
    </row>
    <row r="431" spans="1:11" hidden="1" x14ac:dyDescent="0.25">
      <c r="A431" s="1">
        <f t="shared" si="26"/>
        <v>21</v>
      </c>
      <c r="B431">
        <v>15</v>
      </c>
      <c r="C431" t="str">
        <f t="shared" si="29"/>
        <v>0x15</v>
      </c>
      <c r="D431" t="s">
        <v>399</v>
      </c>
      <c r="E431" t="s">
        <v>217</v>
      </c>
      <c r="F431" t="str">
        <f t="shared" si="27"/>
        <v>CVTQG</v>
      </c>
      <c r="G431" s="2" t="s">
        <v>419</v>
      </c>
      <c r="H431" s="3" t="str">
        <f t="shared" si="28"/>
        <v>0x00BE</v>
      </c>
      <c r="J431" t="s">
        <v>417</v>
      </c>
      <c r="K431" t="s">
        <v>240</v>
      </c>
    </row>
    <row r="432" spans="1:11" s="5" customFormat="1" hidden="1" x14ac:dyDescent="0.25">
      <c r="A432" s="1">
        <f t="shared" si="26"/>
        <v>0</v>
      </c>
      <c r="B432" s="5">
        <v>0</v>
      </c>
      <c r="C432" s="5" t="str">
        <f t="shared" si="29"/>
        <v>0x00</v>
      </c>
      <c r="D432" s="5" t="s">
        <v>195</v>
      </c>
      <c r="F432" s="5" t="str">
        <f t="shared" si="27"/>
        <v>CSIR</v>
      </c>
      <c r="G432" s="6" t="s">
        <v>196</v>
      </c>
      <c r="H432" s="7" t="str">
        <f t="shared" si="28"/>
        <v>0x000D</v>
      </c>
      <c r="I432" s="7"/>
      <c r="J432" s="5" t="s">
        <v>14</v>
      </c>
      <c r="K432" s="5" t="s">
        <v>11</v>
      </c>
    </row>
    <row r="433" spans="1:11" hidden="1" x14ac:dyDescent="0.25">
      <c r="A433" s="1">
        <f t="shared" si="26"/>
        <v>0</v>
      </c>
      <c r="B433">
        <v>0</v>
      </c>
      <c r="C433" t="str">
        <f t="shared" si="29"/>
        <v>0x00</v>
      </c>
      <c r="D433" t="s">
        <v>100</v>
      </c>
      <c r="F433" t="str">
        <f t="shared" si="27"/>
        <v>RFE</v>
      </c>
      <c r="G433" s="2" t="s">
        <v>197</v>
      </c>
      <c r="H433" s="3" t="str">
        <f t="shared" si="28"/>
        <v>0x000E</v>
      </c>
      <c r="J433" t="s">
        <v>14</v>
      </c>
      <c r="K433" t="s">
        <v>11</v>
      </c>
    </row>
    <row r="434" spans="1:11" hidden="1" x14ac:dyDescent="0.25">
      <c r="A434" s="1">
        <f t="shared" si="26"/>
        <v>0</v>
      </c>
    </row>
    <row r="435" spans="1:11" s="5" customFormat="1" hidden="1" x14ac:dyDescent="0.25">
      <c r="A435" s="1">
        <f t="shared" si="26"/>
        <v>16</v>
      </c>
      <c r="B435" s="5">
        <v>10</v>
      </c>
      <c r="C435" s="5" t="str">
        <f t="shared" si="29"/>
        <v>0x10</v>
      </c>
      <c r="D435" s="5" t="s">
        <v>239</v>
      </c>
      <c r="E435" s="5" t="s">
        <v>217</v>
      </c>
      <c r="F435" s="5" t="str">
        <f t="shared" si="27"/>
        <v>CMPBGE</v>
      </c>
      <c r="G435" s="6" t="s">
        <v>198</v>
      </c>
      <c r="H435" s="7" t="str">
        <f t="shared" si="28"/>
        <v>0x000F</v>
      </c>
      <c r="I435" s="7"/>
      <c r="J435" s="5" t="s">
        <v>14</v>
      </c>
      <c r="K435" s="5" t="s">
        <v>240</v>
      </c>
    </row>
    <row r="436" spans="1:11" s="5" customFormat="1" hidden="1" x14ac:dyDescent="0.25">
      <c r="A436" s="1">
        <f t="shared" si="26"/>
        <v>20</v>
      </c>
      <c r="B436" s="5">
        <v>14</v>
      </c>
      <c r="C436" s="5" t="str">
        <f t="shared" si="29"/>
        <v>0x14</v>
      </c>
      <c r="D436" s="5" t="s">
        <v>318</v>
      </c>
      <c r="E436" s="5" t="s">
        <v>319</v>
      </c>
      <c r="F436" s="5" t="str">
        <f t="shared" si="27"/>
        <v>SQRTF_UC</v>
      </c>
      <c r="G436" s="6" t="s">
        <v>686</v>
      </c>
      <c r="H436" s="7" t="str">
        <f t="shared" si="28"/>
        <v>0x010A</v>
      </c>
      <c r="I436" s="7"/>
      <c r="J436" s="5" t="s">
        <v>320</v>
      </c>
      <c r="K436" s="5" t="s">
        <v>321</v>
      </c>
    </row>
    <row r="437" spans="1:11" s="5" customFormat="1" hidden="1" x14ac:dyDescent="0.25">
      <c r="A437" s="1">
        <f t="shared" si="26"/>
        <v>20</v>
      </c>
      <c r="B437" s="5">
        <v>14</v>
      </c>
      <c r="C437" s="5" t="str">
        <f t="shared" si="29"/>
        <v>0x14</v>
      </c>
      <c r="D437" s="5" t="s">
        <v>322</v>
      </c>
      <c r="E437" s="5" t="s">
        <v>319</v>
      </c>
      <c r="F437" s="5" t="str">
        <f t="shared" si="27"/>
        <v>SQRTS_UC</v>
      </c>
      <c r="G437" s="6" t="s">
        <v>687</v>
      </c>
      <c r="H437" s="7" t="str">
        <f t="shared" si="28"/>
        <v>0x010B</v>
      </c>
      <c r="I437" s="7"/>
      <c r="J437" s="5" t="s">
        <v>320</v>
      </c>
      <c r="K437" s="5" t="s">
        <v>323</v>
      </c>
    </row>
    <row r="438" spans="1:11" s="5" customFormat="1" hidden="1" x14ac:dyDescent="0.25">
      <c r="A438" s="1">
        <f t="shared" si="26"/>
        <v>20</v>
      </c>
      <c r="B438" s="5">
        <v>14</v>
      </c>
      <c r="C438" s="5" t="str">
        <f t="shared" si="29"/>
        <v>0x14</v>
      </c>
      <c r="D438" s="5" t="s">
        <v>324</v>
      </c>
      <c r="E438" s="5" t="s">
        <v>319</v>
      </c>
      <c r="F438" s="5" t="str">
        <f t="shared" si="27"/>
        <v>SQRTG_UC</v>
      </c>
      <c r="G438" s="6" t="s">
        <v>688</v>
      </c>
      <c r="H438" s="7" t="str">
        <f t="shared" si="28"/>
        <v>0x012A</v>
      </c>
      <c r="I438" s="7"/>
      <c r="J438" s="5" t="s">
        <v>320</v>
      </c>
      <c r="K438" s="5" t="s">
        <v>325</v>
      </c>
    </row>
    <row r="439" spans="1:11" s="5" customFormat="1" hidden="1" x14ac:dyDescent="0.25">
      <c r="A439" s="1">
        <f t="shared" si="26"/>
        <v>20</v>
      </c>
      <c r="B439" s="5">
        <v>14</v>
      </c>
      <c r="C439" s="5" t="str">
        <f t="shared" si="29"/>
        <v>0x14</v>
      </c>
      <c r="D439" s="5" t="s">
        <v>326</v>
      </c>
      <c r="E439" s="5" t="s">
        <v>319</v>
      </c>
      <c r="F439" s="5" t="str">
        <f t="shared" si="27"/>
        <v>SQRTT_UC</v>
      </c>
      <c r="G439" s="6" t="s">
        <v>689</v>
      </c>
      <c r="H439" s="7" t="str">
        <f t="shared" si="28"/>
        <v>0x012B</v>
      </c>
      <c r="I439" s="7"/>
      <c r="J439" s="5" t="s">
        <v>320</v>
      </c>
      <c r="K439" s="5" t="s">
        <v>327</v>
      </c>
    </row>
    <row r="440" spans="1:11" s="5" customFormat="1" hidden="1" x14ac:dyDescent="0.25">
      <c r="A440" s="1">
        <f t="shared" si="26"/>
        <v>20</v>
      </c>
      <c r="B440" s="5">
        <v>14</v>
      </c>
      <c r="C440" s="5" t="str">
        <f t="shared" si="29"/>
        <v>0x14</v>
      </c>
      <c r="D440" s="5" t="s">
        <v>322</v>
      </c>
      <c r="E440" s="5" t="s">
        <v>328</v>
      </c>
      <c r="F440" s="5" t="str">
        <f t="shared" si="27"/>
        <v>SQRTS_UM</v>
      </c>
      <c r="G440" s="6" t="s">
        <v>690</v>
      </c>
      <c r="H440" s="7" t="str">
        <f t="shared" si="28"/>
        <v>0x014B</v>
      </c>
      <c r="I440" s="7"/>
      <c r="J440" s="5" t="s">
        <v>320</v>
      </c>
      <c r="K440" s="5" t="s">
        <v>329</v>
      </c>
    </row>
    <row r="441" spans="1:11" s="5" customFormat="1" hidden="1" x14ac:dyDescent="0.25">
      <c r="A441" s="1">
        <f t="shared" si="26"/>
        <v>20</v>
      </c>
      <c r="B441" s="5">
        <v>14</v>
      </c>
      <c r="C441" s="5" t="str">
        <f t="shared" si="29"/>
        <v>0x14</v>
      </c>
      <c r="D441" s="5" t="s">
        <v>326</v>
      </c>
      <c r="E441" s="5" t="s">
        <v>328</v>
      </c>
      <c r="F441" s="5" t="str">
        <f t="shared" si="27"/>
        <v>SQRTT_UM</v>
      </c>
      <c r="G441" s="6" t="s">
        <v>691</v>
      </c>
      <c r="H441" s="7" t="str">
        <f t="shared" si="28"/>
        <v>0x016B</v>
      </c>
      <c r="I441" s="7"/>
      <c r="J441" s="5" t="s">
        <v>320</v>
      </c>
      <c r="K441" s="5" t="s">
        <v>330</v>
      </c>
    </row>
    <row r="442" spans="1:11" s="5" customFormat="1" hidden="1" x14ac:dyDescent="0.25">
      <c r="A442" s="1">
        <f t="shared" si="26"/>
        <v>20</v>
      </c>
      <c r="B442" s="5">
        <v>14</v>
      </c>
      <c r="C442" s="5" t="str">
        <f t="shared" si="29"/>
        <v>0x14</v>
      </c>
      <c r="D442" s="5" t="s">
        <v>318</v>
      </c>
      <c r="E442" s="5" t="s">
        <v>331</v>
      </c>
      <c r="F442" s="5" t="str">
        <f t="shared" si="27"/>
        <v>SQRTF_U</v>
      </c>
      <c r="G442" s="6" t="s">
        <v>692</v>
      </c>
      <c r="H442" s="7" t="str">
        <f t="shared" si="28"/>
        <v>0x018A</v>
      </c>
      <c r="I442" s="7"/>
      <c r="J442" s="5" t="s">
        <v>320</v>
      </c>
      <c r="K442" s="5" t="s">
        <v>332</v>
      </c>
    </row>
    <row r="443" spans="1:11" s="5" customFormat="1" hidden="1" x14ac:dyDescent="0.25">
      <c r="A443" s="1">
        <f t="shared" si="26"/>
        <v>20</v>
      </c>
      <c r="B443" s="5">
        <v>14</v>
      </c>
      <c r="C443" s="5" t="str">
        <f t="shared" si="29"/>
        <v>0x14</v>
      </c>
      <c r="D443" s="5" t="s">
        <v>322</v>
      </c>
      <c r="E443" s="5" t="s">
        <v>331</v>
      </c>
      <c r="F443" s="5" t="str">
        <f t="shared" si="27"/>
        <v>SQRTS_U</v>
      </c>
      <c r="G443" s="6" t="s">
        <v>693</v>
      </c>
      <c r="H443" s="7" t="str">
        <f t="shared" si="28"/>
        <v>0x018B</v>
      </c>
      <c r="I443" s="7"/>
      <c r="J443" s="5" t="s">
        <v>320</v>
      </c>
      <c r="K443" s="5" t="s">
        <v>333</v>
      </c>
    </row>
    <row r="444" spans="1:11" s="5" customFormat="1" hidden="1" x14ac:dyDescent="0.25">
      <c r="A444" s="1">
        <f t="shared" si="26"/>
        <v>20</v>
      </c>
      <c r="B444" s="5">
        <v>14</v>
      </c>
      <c r="C444" s="5" t="str">
        <f t="shared" si="29"/>
        <v>0x14</v>
      </c>
      <c r="D444" s="5" t="s">
        <v>324</v>
      </c>
      <c r="E444" s="5" t="s">
        <v>331</v>
      </c>
      <c r="F444" s="5" t="str">
        <f t="shared" si="27"/>
        <v>SQRTG_U</v>
      </c>
      <c r="G444" s="6" t="s">
        <v>694</v>
      </c>
      <c r="H444" s="7" t="str">
        <f t="shared" si="28"/>
        <v>0x01AA</v>
      </c>
      <c r="I444" s="7"/>
      <c r="J444" s="5" t="s">
        <v>320</v>
      </c>
      <c r="K444" s="5" t="s">
        <v>334</v>
      </c>
    </row>
    <row r="445" spans="1:11" s="5" customFormat="1" hidden="1" x14ac:dyDescent="0.25">
      <c r="A445" s="1">
        <f t="shared" si="26"/>
        <v>20</v>
      </c>
      <c r="B445" s="5">
        <v>14</v>
      </c>
      <c r="C445" s="5" t="str">
        <f t="shared" si="29"/>
        <v>0x14</v>
      </c>
      <c r="D445" s="5" t="s">
        <v>326</v>
      </c>
      <c r="E445" s="5" t="s">
        <v>331</v>
      </c>
      <c r="F445" s="5" t="str">
        <f t="shared" si="27"/>
        <v>SQRTT_U</v>
      </c>
      <c r="G445" s="6" t="s">
        <v>695</v>
      </c>
      <c r="H445" s="7" t="str">
        <f t="shared" si="28"/>
        <v>0x01AB</v>
      </c>
      <c r="I445" s="7"/>
      <c r="J445" s="5" t="s">
        <v>320</v>
      </c>
      <c r="K445" s="5" t="s">
        <v>335</v>
      </c>
    </row>
    <row r="446" spans="1:11" s="5" customFormat="1" hidden="1" x14ac:dyDescent="0.25">
      <c r="A446" s="1">
        <f t="shared" ref="A446:A509" si="30">HEX2DEC(B446)</f>
        <v>20</v>
      </c>
      <c r="B446" s="5">
        <v>14</v>
      </c>
      <c r="C446" s="5" t="str">
        <f t="shared" si="29"/>
        <v>0x14</v>
      </c>
      <c r="D446" s="5" t="s">
        <v>322</v>
      </c>
      <c r="E446" s="5" t="s">
        <v>336</v>
      </c>
      <c r="F446" s="5" t="str">
        <f t="shared" ref="F446:F509" si="31">IF(TRIM(E446)="",TRIM(D446),TRIM(D446)&amp;"_"&amp;TRIM(E446))</f>
        <v>SQRTS_UD</v>
      </c>
      <c r="G446" s="6" t="s">
        <v>696</v>
      </c>
      <c r="H446" s="7" t="str">
        <f t="shared" si="28"/>
        <v>0x01CB</v>
      </c>
      <c r="I446" s="7"/>
      <c r="J446" s="5" t="s">
        <v>320</v>
      </c>
      <c r="K446" s="5" t="s">
        <v>337</v>
      </c>
    </row>
    <row r="447" spans="1:11" s="5" customFormat="1" hidden="1" x14ac:dyDescent="0.25">
      <c r="A447" s="1">
        <f t="shared" si="30"/>
        <v>20</v>
      </c>
      <c r="B447" s="5">
        <v>14</v>
      </c>
      <c r="C447" s="5" t="str">
        <f t="shared" si="29"/>
        <v>0x14</v>
      </c>
      <c r="D447" s="5" t="s">
        <v>326</v>
      </c>
      <c r="E447" s="5" t="s">
        <v>336</v>
      </c>
      <c r="F447" s="5" t="str">
        <f t="shared" si="31"/>
        <v>SQRTT_UD</v>
      </c>
      <c r="G447" s="6" t="s">
        <v>697</v>
      </c>
      <c r="H447" s="7" t="str">
        <f t="shared" si="28"/>
        <v>0x01EB</v>
      </c>
      <c r="I447" s="7"/>
      <c r="J447" s="5" t="s">
        <v>320</v>
      </c>
      <c r="K447" s="5" t="s">
        <v>338</v>
      </c>
    </row>
    <row r="448" spans="1:11" s="5" customFormat="1" hidden="1" x14ac:dyDescent="0.25">
      <c r="A448" s="1">
        <f t="shared" si="30"/>
        <v>20</v>
      </c>
      <c r="B448" s="5">
        <v>14</v>
      </c>
      <c r="C448" s="5" t="str">
        <f t="shared" si="29"/>
        <v>0x14</v>
      </c>
      <c r="D448" s="5" t="s">
        <v>318</v>
      </c>
      <c r="E448" s="5" t="s">
        <v>339</v>
      </c>
      <c r="F448" s="5" t="str">
        <f t="shared" si="31"/>
        <v>SQRTF_SC</v>
      </c>
      <c r="G448" s="6" t="s">
        <v>698</v>
      </c>
      <c r="H448" s="7" t="str">
        <f t="shared" si="28"/>
        <v>0x040A</v>
      </c>
      <c r="I448" s="7"/>
      <c r="J448" s="5" t="s">
        <v>320</v>
      </c>
      <c r="K448" s="5" t="s">
        <v>340</v>
      </c>
    </row>
    <row r="449" spans="1:11" s="5" customFormat="1" hidden="1" x14ac:dyDescent="0.25">
      <c r="A449" s="1">
        <f t="shared" si="30"/>
        <v>20</v>
      </c>
      <c r="B449" s="5">
        <v>14</v>
      </c>
      <c r="C449" s="5" t="str">
        <f t="shared" si="29"/>
        <v>0x14</v>
      </c>
      <c r="D449" s="5" t="s">
        <v>324</v>
      </c>
      <c r="E449" s="5" t="s">
        <v>339</v>
      </c>
      <c r="F449" s="5" t="str">
        <f t="shared" si="31"/>
        <v>SQRTG_SC</v>
      </c>
      <c r="G449" s="6" t="s">
        <v>699</v>
      </c>
      <c r="H449" s="7" t="str">
        <f t="shared" si="28"/>
        <v>0x042A</v>
      </c>
      <c r="I449" s="7"/>
      <c r="J449" s="5" t="s">
        <v>320</v>
      </c>
      <c r="K449" s="5" t="s">
        <v>341</v>
      </c>
    </row>
    <row r="450" spans="1:11" s="5" customFormat="1" hidden="1" x14ac:dyDescent="0.25">
      <c r="A450" s="1">
        <f t="shared" si="30"/>
        <v>20</v>
      </c>
      <c r="B450" s="5">
        <v>14</v>
      </c>
      <c r="C450" s="5" t="str">
        <f t="shared" si="29"/>
        <v>0x14</v>
      </c>
      <c r="D450" s="5" t="s">
        <v>318</v>
      </c>
      <c r="E450" s="5" t="s">
        <v>342</v>
      </c>
      <c r="F450" s="5" t="str">
        <f t="shared" si="31"/>
        <v>SQRTF_S</v>
      </c>
      <c r="G450" s="6" t="s">
        <v>700</v>
      </c>
      <c r="H450" s="7" t="str">
        <f t="shared" si="28"/>
        <v>0x048A</v>
      </c>
      <c r="I450" s="7"/>
      <c r="J450" s="5" t="s">
        <v>320</v>
      </c>
      <c r="K450" s="5" t="s">
        <v>343</v>
      </c>
    </row>
    <row r="451" spans="1:11" s="5" customFormat="1" hidden="1" x14ac:dyDescent="0.25">
      <c r="A451" s="1">
        <f t="shared" si="30"/>
        <v>20</v>
      </c>
      <c r="B451" s="5">
        <v>14</v>
      </c>
      <c r="C451" s="5" t="str">
        <f t="shared" si="29"/>
        <v>0x14</v>
      </c>
      <c r="D451" s="5" t="s">
        <v>324</v>
      </c>
      <c r="E451" s="5" t="s">
        <v>342</v>
      </c>
      <c r="F451" s="5" t="str">
        <f t="shared" si="31"/>
        <v>SQRTG_S</v>
      </c>
      <c r="G451" s="6" t="s">
        <v>701</v>
      </c>
      <c r="H451" s="7" t="str">
        <f t="shared" si="28"/>
        <v>0x04AA</v>
      </c>
      <c r="I451" s="7"/>
      <c r="J451" s="5" t="s">
        <v>320</v>
      </c>
      <c r="K451" s="5" t="s">
        <v>344</v>
      </c>
    </row>
    <row r="452" spans="1:11" s="5" customFormat="1" hidden="1" x14ac:dyDescent="0.25">
      <c r="A452" s="1">
        <f t="shared" si="30"/>
        <v>20</v>
      </c>
      <c r="B452" s="5">
        <v>14</v>
      </c>
      <c r="C452" s="5" t="str">
        <f t="shared" si="29"/>
        <v>0x14</v>
      </c>
      <c r="D452" s="5" t="s">
        <v>318</v>
      </c>
      <c r="E452" s="5" t="s">
        <v>345</v>
      </c>
      <c r="F452" s="5" t="str">
        <f t="shared" si="31"/>
        <v>SQRTF_SUC</v>
      </c>
      <c r="G452" s="6" t="s">
        <v>702</v>
      </c>
      <c r="H452" s="7" t="str">
        <f t="shared" si="28"/>
        <v>0x050A</v>
      </c>
      <c r="I452" s="7"/>
      <c r="J452" s="5" t="s">
        <v>320</v>
      </c>
      <c r="K452" s="5" t="s">
        <v>346</v>
      </c>
    </row>
    <row r="453" spans="1:11" s="5" customFormat="1" hidden="1" x14ac:dyDescent="0.25">
      <c r="A453" s="1">
        <f t="shared" si="30"/>
        <v>20</v>
      </c>
      <c r="B453" s="5">
        <v>14</v>
      </c>
      <c r="C453" s="5" t="str">
        <f t="shared" si="29"/>
        <v>0x14</v>
      </c>
      <c r="D453" s="5" t="s">
        <v>322</v>
      </c>
      <c r="E453" s="5" t="s">
        <v>345</v>
      </c>
      <c r="F453" s="5" t="str">
        <f t="shared" si="31"/>
        <v>SQRTS_SUC</v>
      </c>
      <c r="G453" s="6" t="s">
        <v>703</v>
      </c>
      <c r="H453" s="7" t="str">
        <f t="shared" si="28"/>
        <v>0x050B</v>
      </c>
      <c r="I453" s="7"/>
      <c r="J453" s="5" t="s">
        <v>320</v>
      </c>
      <c r="K453" s="5" t="s">
        <v>347</v>
      </c>
    </row>
    <row r="454" spans="1:11" s="5" customFormat="1" hidden="1" x14ac:dyDescent="0.25">
      <c r="A454" s="1">
        <f t="shared" si="30"/>
        <v>20</v>
      </c>
      <c r="B454" s="5">
        <v>14</v>
      </c>
      <c r="C454" s="5" t="str">
        <f t="shared" si="29"/>
        <v>0x14</v>
      </c>
      <c r="D454" s="5" t="s">
        <v>324</v>
      </c>
      <c r="E454" s="5" t="s">
        <v>345</v>
      </c>
      <c r="F454" s="5" t="str">
        <f t="shared" si="31"/>
        <v>SQRTG_SUC</v>
      </c>
      <c r="G454" s="6" t="s">
        <v>704</v>
      </c>
      <c r="H454" s="7" t="str">
        <f t="shared" si="28"/>
        <v>0x052A</v>
      </c>
      <c r="I454" s="7"/>
      <c r="J454" s="5" t="s">
        <v>320</v>
      </c>
      <c r="K454" s="5" t="s">
        <v>348</v>
      </c>
    </row>
    <row r="455" spans="1:11" s="5" customFormat="1" hidden="1" x14ac:dyDescent="0.25">
      <c r="A455" s="1">
        <f t="shared" si="30"/>
        <v>20</v>
      </c>
      <c r="B455" s="5">
        <v>14</v>
      </c>
      <c r="C455" s="5" t="str">
        <f t="shared" si="29"/>
        <v>0x14</v>
      </c>
      <c r="D455" s="5" t="s">
        <v>326</v>
      </c>
      <c r="E455" s="5" t="s">
        <v>345</v>
      </c>
      <c r="F455" s="5" t="str">
        <f t="shared" si="31"/>
        <v>SQRTT_SUC</v>
      </c>
      <c r="G455" s="6" t="s">
        <v>705</v>
      </c>
      <c r="H455" s="7" t="str">
        <f t="shared" si="28"/>
        <v>0x052B</v>
      </c>
      <c r="I455" s="7"/>
      <c r="J455" s="5" t="s">
        <v>320</v>
      </c>
      <c r="K455" s="5" t="s">
        <v>349</v>
      </c>
    </row>
    <row r="456" spans="1:11" s="5" customFormat="1" hidden="1" x14ac:dyDescent="0.25">
      <c r="A456" s="1">
        <f t="shared" si="30"/>
        <v>20</v>
      </c>
      <c r="B456" s="5">
        <v>14</v>
      </c>
      <c r="C456" s="5" t="str">
        <f t="shared" si="29"/>
        <v>0x14</v>
      </c>
      <c r="D456" s="5" t="s">
        <v>322</v>
      </c>
      <c r="E456" s="5" t="s">
        <v>350</v>
      </c>
      <c r="F456" s="5" t="str">
        <f t="shared" si="31"/>
        <v>SQRTS_SUM</v>
      </c>
      <c r="G456" s="6" t="s">
        <v>706</v>
      </c>
      <c r="H456" s="7" t="str">
        <f t="shared" si="28"/>
        <v>0x054B</v>
      </c>
      <c r="I456" s="7"/>
      <c r="J456" s="5" t="s">
        <v>320</v>
      </c>
      <c r="K456" s="5" t="s">
        <v>351</v>
      </c>
    </row>
    <row r="457" spans="1:11" s="5" customFormat="1" hidden="1" x14ac:dyDescent="0.25">
      <c r="A457" s="1">
        <f t="shared" si="30"/>
        <v>20</v>
      </c>
      <c r="B457" s="5">
        <v>14</v>
      </c>
      <c r="C457" s="5" t="str">
        <f t="shared" si="29"/>
        <v>0x14</v>
      </c>
      <c r="D457" s="5" t="s">
        <v>326</v>
      </c>
      <c r="E457" s="5" t="s">
        <v>350</v>
      </c>
      <c r="F457" s="5" t="str">
        <f t="shared" si="31"/>
        <v>SQRTT_SUM</v>
      </c>
      <c r="G457" s="6" t="s">
        <v>707</v>
      </c>
      <c r="H457" s="7" t="str">
        <f t="shared" si="28"/>
        <v>0x056B</v>
      </c>
      <c r="I457" s="7"/>
      <c r="J457" s="5" t="s">
        <v>320</v>
      </c>
      <c r="K457" s="5" t="s">
        <v>352</v>
      </c>
    </row>
    <row r="458" spans="1:11" s="5" customFormat="1" hidden="1" x14ac:dyDescent="0.25">
      <c r="A458" s="1">
        <f t="shared" si="30"/>
        <v>20</v>
      </c>
      <c r="B458" s="5">
        <v>14</v>
      </c>
      <c r="C458" s="5" t="str">
        <f t="shared" si="29"/>
        <v>0x14</v>
      </c>
      <c r="D458" s="5" t="s">
        <v>318</v>
      </c>
      <c r="E458" s="5" t="s">
        <v>353</v>
      </c>
      <c r="F458" s="5" t="str">
        <f t="shared" si="31"/>
        <v>SQRTF_SU</v>
      </c>
      <c r="G458" s="6" t="s">
        <v>708</v>
      </c>
      <c r="H458" s="7" t="str">
        <f t="shared" si="28"/>
        <v>0x058A</v>
      </c>
      <c r="I458" s="7"/>
      <c r="J458" s="5" t="s">
        <v>320</v>
      </c>
      <c r="K458" s="5" t="s">
        <v>354</v>
      </c>
    </row>
    <row r="459" spans="1:11" s="5" customFormat="1" hidden="1" x14ac:dyDescent="0.25">
      <c r="A459" s="1">
        <f t="shared" si="30"/>
        <v>20</v>
      </c>
      <c r="B459" s="5">
        <v>14</v>
      </c>
      <c r="C459" s="5" t="str">
        <f t="shared" si="29"/>
        <v>0x14</v>
      </c>
      <c r="D459" s="5" t="s">
        <v>322</v>
      </c>
      <c r="E459" s="5" t="s">
        <v>353</v>
      </c>
      <c r="F459" s="5" t="str">
        <f t="shared" si="31"/>
        <v>SQRTS_SU</v>
      </c>
      <c r="G459" s="6" t="s">
        <v>709</v>
      </c>
      <c r="H459" s="7" t="str">
        <f t="shared" si="28"/>
        <v>0x058B</v>
      </c>
      <c r="I459" s="7"/>
      <c r="J459" s="5" t="s">
        <v>320</v>
      </c>
      <c r="K459" s="5" t="s">
        <v>355</v>
      </c>
    </row>
    <row r="460" spans="1:11" s="5" customFormat="1" hidden="1" x14ac:dyDescent="0.25">
      <c r="A460" s="1">
        <f t="shared" si="30"/>
        <v>20</v>
      </c>
      <c r="B460" s="5">
        <v>14</v>
      </c>
      <c r="C460" s="5" t="str">
        <f t="shared" si="29"/>
        <v>0x14</v>
      </c>
      <c r="D460" s="5" t="s">
        <v>324</v>
      </c>
      <c r="E460" s="5" t="s">
        <v>353</v>
      </c>
      <c r="F460" s="5" t="str">
        <f t="shared" si="31"/>
        <v>SQRTG_SU</v>
      </c>
      <c r="G460" s="6" t="s">
        <v>710</v>
      </c>
      <c r="H460" s="7" t="str">
        <f t="shared" si="28"/>
        <v>0x05AA</v>
      </c>
      <c r="I460" s="7"/>
      <c r="J460" s="5" t="s">
        <v>320</v>
      </c>
      <c r="K460" s="5" t="s">
        <v>356</v>
      </c>
    </row>
    <row r="461" spans="1:11" s="5" customFormat="1" hidden="1" x14ac:dyDescent="0.25">
      <c r="A461" s="1">
        <f t="shared" si="30"/>
        <v>20</v>
      </c>
      <c r="B461" s="5">
        <v>14</v>
      </c>
      <c r="C461" s="5" t="str">
        <f t="shared" si="29"/>
        <v>0x14</v>
      </c>
      <c r="D461" s="5" t="s">
        <v>326</v>
      </c>
      <c r="E461" s="5" t="s">
        <v>353</v>
      </c>
      <c r="F461" s="5" t="str">
        <f t="shared" si="31"/>
        <v>SQRTT_SU</v>
      </c>
      <c r="G461" s="6" t="s">
        <v>711</v>
      </c>
      <c r="H461" s="7" t="str">
        <f t="shared" si="28"/>
        <v>0x05AB</v>
      </c>
      <c r="I461" s="7"/>
      <c r="J461" s="5" t="s">
        <v>320</v>
      </c>
      <c r="K461" s="5" t="s">
        <v>357</v>
      </c>
    </row>
    <row r="462" spans="1:11" s="5" customFormat="1" hidden="1" x14ac:dyDescent="0.25">
      <c r="A462" s="1">
        <f t="shared" si="30"/>
        <v>20</v>
      </c>
      <c r="B462" s="5">
        <v>14</v>
      </c>
      <c r="C462" s="5" t="str">
        <f t="shared" si="29"/>
        <v>0x14</v>
      </c>
      <c r="D462" s="5" t="s">
        <v>322</v>
      </c>
      <c r="E462" s="5" t="s">
        <v>358</v>
      </c>
      <c r="F462" s="5" t="str">
        <f t="shared" si="31"/>
        <v>SQRTS_SUD</v>
      </c>
      <c r="G462" s="6" t="s">
        <v>712</v>
      </c>
      <c r="H462" s="7" t="str">
        <f t="shared" si="28"/>
        <v>0x05CB</v>
      </c>
      <c r="I462" s="7"/>
      <c r="J462" s="5" t="s">
        <v>320</v>
      </c>
      <c r="K462" s="5" t="s">
        <v>359</v>
      </c>
    </row>
    <row r="463" spans="1:11" s="5" customFormat="1" hidden="1" x14ac:dyDescent="0.25">
      <c r="A463" s="1">
        <f t="shared" si="30"/>
        <v>20</v>
      </c>
      <c r="B463" s="5">
        <v>14</v>
      </c>
      <c r="C463" s="5" t="str">
        <f t="shared" si="29"/>
        <v>0x14</v>
      </c>
      <c r="D463" s="5" t="s">
        <v>326</v>
      </c>
      <c r="E463" s="5" t="s">
        <v>358</v>
      </c>
      <c r="F463" s="5" t="str">
        <f t="shared" si="31"/>
        <v>SQRTT_SUD</v>
      </c>
      <c r="G463" s="6" t="s">
        <v>713</v>
      </c>
      <c r="H463" s="7" t="str">
        <f t="shared" si="28"/>
        <v>0x05EB</v>
      </c>
      <c r="I463" s="7"/>
      <c r="J463" s="5" t="s">
        <v>320</v>
      </c>
      <c r="K463" s="5" t="s">
        <v>360</v>
      </c>
    </row>
    <row r="464" spans="1:11" s="5" customFormat="1" hidden="1" x14ac:dyDescent="0.25">
      <c r="A464" s="1">
        <f t="shared" si="30"/>
        <v>20</v>
      </c>
      <c r="B464" s="5">
        <v>14</v>
      </c>
      <c r="C464" s="5" t="str">
        <f t="shared" si="29"/>
        <v>0x14</v>
      </c>
      <c r="D464" s="5" t="s">
        <v>322</v>
      </c>
      <c r="E464" s="5" t="s">
        <v>361</v>
      </c>
      <c r="F464" s="5" t="str">
        <f t="shared" si="31"/>
        <v>SQRTS_SUIC</v>
      </c>
      <c r="G464" s="6" t="s">
        <v>714</v>
      </c>
      <c r="H464" s="7" t="str">
        <f t="shared" si="28"/>
        <v>0x070B</v>
      </c>
      <c r="I464" s="7"/>
      <c r="J464" s="5" t="s">
        <v>320</v>
      </c>
      <c r="K464" s="5" t="s">
        <v>362</v>
      </c>
    </row>
    <row r="465" spans="1:11" s="5" customFormat="1" hidden="1" x14ac:dyDescent="0.25">
      <c r="A465" s="1">
        <f t="shared" si="30"/>
        <v>20</v>
      </c>
      <c r="B465" s="5">
        <v>14</v>
      </c>
      <c r="C465" s="5" t="str">
        <f t="shared" si="29"/>
        <v>0x14</v>
      </c>
      <c r="D465" s="5" t="s">
        <v>326</v>
      </c>
      <c r="E465" s="5" t="s">
        <v>361</v>
      </c>
      <c r="F465" s="5" t="str">
        <f t="shared" si="31"/>
        <v>SQRTT_SUIC</v>
      </c>
      <c r="G465" s="6" t="s">
        <v>715</v>
      </c>
      <c r="H465" s="7" t="str">
        <f t="shared" si="28"/>
        <v>0x072B</v>
      </c>
      <c r="I465" s="7"/>
      <c r="J465" s="5" t="s">
        <v>320</v>
      </c>
      <c r="K465" s="5" t="s">
        <v>363</v>
      </c>
    </row>
    <row r="466" spans="1:11" s="5" customFormat="1" ht="6.75" hidden="1" customHeight="1" x14ac:dyDescent="0.25">
      <c r="A466" s="1">
        <f t="shared" si="30"/>
        <v>20</v>
      </c>
      <c r="B466" s="5">
        <v>14</v>
      </c>
      <c r="C466" s="5" t="str">
        <f t="shared" si="29"/>
        <v>0x14</v>
      </c>
      <c r="D466" s="5" t="s">
        <v>322</v>
      </c>
      <c r="E466" s="5" t="s">
        <v>364</v>
      </c>
      <c r="F466" s="5" t="str">
        <f t="shared" si="31"/>
        <v>SQRTS_SUIM</v>
      </c>
      <c r="G466" s="6" t="s">
        <v>716</v>
      </c>
      <c r="H466" s="7" t="str">
        <f t="shared" si="28"/>
        <v>0x074B</v>
      </c>
      <c r="I466" s="7"/>
      <c r="J466" s="5" t="s">
        <v>320</v>
      </c>
      <c r="K466" s="5" t="s">
        <v>365</v>
      </c>
    </row>
    <row r="467" spans="1:11" s="5" customFormat="1" hidden="1" x14ac:dyDescent="0.25">
      <c r="A467" s="1">
        <f t="shared" si="30"/>
        <v>20</v>
      </c>
      <c r="B467" s="5">
        <v>14</v>
      </c>
      <c r="C467" s="5" t="str">
        <f t="shared" si="29"/>
        <v>0x14</v>
      </c>
      <c r="D467" s="5" t="s">
        <v>326</v>
      </c>
      <c r="E467" s="5" t="s">
        <v>364</v>
      </c>
      <c r="F467" s="5" t="str">
        <f t="shared" si="31"/>
        <v>SQRTT_SUIM</v>
      </c>
      <c r="G467" s="6" t="s">
        <v>717</v>
      </c>
      <c r="H467" s="7" t="str">
        <f t="shared" si="28"/>
        <v>0x076B</v>
      </c>
      <c r="I467" s="7"/>
      <c r="J467" s="5" t="s">
        <v>320</v>
      </c>
      <c r="K467" s="5" t="s">
        <v>366</v>
      </c>
    </row>
    <row r="468" spans="1:11" s="5" customFormat="1" hidden="1" x14ac:dyDescent="0.25">
      <c r="A468" s="1">
        <f t="shared" si="30"/>
        <v>20</v>
      </c>
      <c r="B468" s="5">
        <v>14</v>
      </c>
      <c r="C468" s="5" t="str">
        <f t="shared" si="29"/>
        <v>0x14</v>
      </c>
      <c r="D468" s="5" t="s">
        <v>322</v>
      </c>
      <c r="E468" s="5" t="s">
        <v>367</v>
      </c>
      <c r="F468" s="5" t="str">
        <f t="shared" si="31"/>
        <v>SQRTS_SUI</v>
      </c>
      <c r="G468" s="6" t="s">
        <v>718</v>
      </c>
      <c r="H468" s="7" t="str">
        <f t="shared" si="28"/>
        <v>0x078B</v>
      </c>
      <c r="I468" s="7"/>
      <c r="J468" s="5" t="s">
        <v>320</v>
      </c>
      <c r="K468" s="5" t="s">
        <v>368</v>
      </c>
    </row>
    <row r="469" spans="1:11" s="5" customFormat="1" hidden="1" x14ac:dyDescent="0.25">
      <c r="A469" s="1">
        <f t="shared" si="30"/>
        <v>20</v>
      </c>
      <c r="B469" s="5">
        <v>14</v>
      </c>
      <c r="C469" s="5" t="str">
        <f t="shared" si="29"/>
        <v>0x14</v>
      </c>
      <c r="D469" s="5" t="s">
        <v>326</v>
      </c>
      <c r="E469" s="5" t="s">
        <v>367</v>
      </c>
      <c r="F469" s="5" t="str">
        <f t="shared" si="31"/>
        <v>SQRTT_SUI</v>
      </c>
      <c r="G469" s="6" t="s">
        <v>719</v>
      </c>
      <c r="H469" s="7" t="str">
        <f t="shared" si="28"/>
        <v>0x07AB</v>
      </c>
      <c r="I469" s="7"/>
      <c r="J469" s="5" t="s">
        <v>320</v>
      </c>
      <c r="K469" s="5" t="s">
        <v>369</v>
      </c>
    </row>
    <row r="470" spans="1:11" s="5" customFormat="1" hidden="1" x14ac:dyDescent="0.25">
      <c r="A470" s="1">
        <f t="shared" si="30"/>
        <v>20</v>
      </c>
      <c r="B470" s="5">
        <v>14</v>
      </c>
      <c r="C470" s="5" t="str">
        <f t="shared" si="29"/>
        <v>0x14</v>
      </c>
      <c r="D470" s="5" t="s">
        <v>322</v>
      </c>
      <c r="E470" s="5" t="s">
        <v>370</v>
      </c>
      <c r="F470" s="5" t="str">
        <f t="shared" si="31"/>
        <v>SQRTS_SUID</v>
      </c>
      <c r="G470" s="6" t="s">
        <v>720</v>
      </c>
      <c r="H470" s="7" t="str">
        <f t="shared" si="28"/>
        <v>0x07CB</v>
      </c>
      <c r="I470" s="7"/>
      <c r="J470" s="5" t="s">
        <v>320</v>
      </c>
      <c r="K470" s="5" t="s">
        <v>371</v>
      </c>
    </row>
    <row r="471" spans="1:11" s="5" customFormat="1" hidden="1" x14ac:dyDescent="0.25">
      <c r="A471" s="1">
        <f t="shared" si="30"/>
        <v>20</v>
      </c>
      <c r="B471" s="5">
        <v>14</v>
      </c>
      <c r="C471" s="5" t="str">
        <f t="shared" si="29"/>
        <v>0x14</v>
      </c>
      <c r="D471" s="5" t="s">
        <v>326</v>
      </c>
      <c r="E471" s="5" t="s">
        <v>370</v>
      </c>
      <c r="F471" s="5" t="str">
        <f t="shared" si="31"/>
        <v>SQRTT_SUID</v>
      </c>
      <c r="G471" s="6" t="s">
        <v>721</v>
      </c>
      <c r="H471" s="7" t="str">
        <f t="shared" ref="H471:H534" si="32">"0x"&amp;RIGHT("0000"&amp;UPPER(SUBSTITUTE(TRIM(G471),"0X","")),4)</f>
        <v>0x07EB</v>
      </c>
      <c r="I471" s="7"/>
      <c r="J471" s="5" t="s">
        <v>320</v>
      </c>
      <c r="K471" s="5" t="s">
        <v>372</v>
      </c>
    </row>
    <row r="472" spans="1:11" s="5" customFormat="1" hidden="1" x14ac:dyDescent="0.25">
      <c r="A472" s="1">
        <f t="shared" si="30"/>
        <v>0</v>
      </c>
      <c r="B472" s="5">
        <v>0</v>
      </c>
      <c r="C472" s="5" t="str">
        <f t="shared" si="29"/>
        <v>0x00</v>
      </c>
      <c r="D472" s="5" t="s">
        <v>199</v>
      </c>
      <c r="F472" s="5" t="str">
        <f t="shared" si="31"/>
        <v>RESTART</v>
      </c>
      <c r="G472" s="6" t="s">
        <v>200</v>
      </c>
      <c r="H472" s="7" t="str">
        <f t="shared" si="32"/>
        <v>0x0001</v>
      </c>
      <c r="I472" s="7"/>
      <c r="J472" s="5" t="s">
        <v>14</v>
      </c>
      <c r="K472" s="5" t="s">
        <v>11</v>
      </c>
    </row>
    <row r="473" spans="1:11" hidden="1" x14ac:dyDescent="0.25">
      <c r="A473" s="1">
        <f t="shared" si="30"/>
        <v>21</v>
      </c>
      <c r="B473">
        <v>15</v>
      </c>
      <c r="C473" t="str">
        <f t="shared" si="29"/>
        <v>0x15</v>
      </c>
      <c r="D473" t="s">
        <v>373</v>
      </c>
      <c r="E473" t="s">
        <v>319</v>
      </c>
      <c r="F473" t="str">
        <f t="shared" si="31"/>
        <v>ADDF_UC</v>
      </c>
      <c r="G473" s="2" t="s">
        <v>420</v>
      </c>
      <c r="H473" s="3" t="str">
        <f t="shared" si="32"/>
        <v>0x0100</v>
      </c>
      <c r="J473" t="s">
        <v>317</v>
      </c>
      <c r="K473" t="s">
        <v>240</v>
      </c>
    </row>
    <row r="474" spans="1:11" x14ac:dyDescent="0.25">
      <c r="A474" s="1">
        <f t="shared" si="30"/>
        <v>21</v>
      </c>
      <c r="B474">
        <v>15</v>
      </c>
      <c r="C474" t="str">
        <f t="shared" si="29"/>
        <v>0x15</v>
      </c>
      <c r="D474" t="s">
        <v>374</v>
      </c>
      <c r="E474" t="s">
        <v>319</v>
      </c>
      <c r="F474" t="str">
        <f t="shared" si="31"/>
        <v>SUBF_UC</v>
      </c>
      <c r="G474" s="2" t="s">
        <v>421</v>
      </c>
      <c r="H474" s="3" t="str">
        <f t="shared" si="32"/>
        <v>0x0101</v>
      </c>
      <c r="J474" t="s">
        <v>317</v>
      </c>
      <c r="K474" t="s">
        <v>240</v>
      </c>
    </row>
    <row r="475" spans="1:11" hidden="1" x14ac:dyDescent="0.25">
      <c r="A475" s="1">
        <f t="shared" si="30"/>
        <v>21</v>
      </c>
      <c r="B475">
        <v>15</v>
      </c>
      <c r="C475" t="str">
        <f t="shared" si="29"/>
        <v>0x15</v>
      </c>
      <c r="D475" t="s">
        <v>375</v>
      </c>
      <c r="E475" t="s">
        <v>319</v>
      </c>
      <c r="F475" t="str">
        <f t="shared" si="31"/>
        <v>MULF_UC</v>
      </c>
      <c r="G475" s="2" t="s">
        <v>422</v>
      </c>
      <c r="H475" s="3" t="str">
        <f t="shared" si="32"/>
        <v>0x0102</v>
      </c>
      <c r="J475" t="s">
        <v>317</v>
      </c>
      <c r="K475" t="s">
        <v>240</v>
      </c>
    </row>
    <row r="476" spans="1:11" s="5" customFormat="1" hidden="1" x14ac:dyDescent="0.25">
      <c r="A476" s="1">
        <f t="shared" si="30"/>
        <v>21</v>
      </c>
      <c r="B476" s="5">
        <v>15</v>
      </c>
      <c r="C476" s="5" t="str">
        <f t="shared" ref="C476:C539" si="33">"0x"&amp;TEXT(DEC2HEX(A476),"00")</f>
        <v>0x15</v>
      </c>
      <c r="D476" s="5" t="s">
        <v>376</v>
      </c>
      <c r="E476" s="5" t="s">
        <v>319</v>
      </c>
      <c r="F476" s="5" t="str">
        <f t="shared" si="31"/>
        <v>DIVF_UC</v>
      </c>
      <c r="G476" s="6" t="s">
        <v>423</v>
      </c>
      <c r="H476" s="7" t="str">
        <f t="shared" si="32"/>
        <v>0x0103</v>
      </c>
      <c r="I476" s="7"/>
      <c r="J476" s="5" t="s">
        <v>317</v>
      </c>
      <c r="K476" s="5" t="s">
        <v>240</v>
      </c>
    </row>
    <row r="477" spans="1:11" hidden="1" x14ac:dyDescent="0.25">
      <c r="A477" s="1">
        <f t="shared" si="30"/>
        <v>0</v>
      </c>
      <c r="B477">
        <v>0</v>
      </c>
      <c r="C477" t="str">
        <f t="shared" si="33"/>
        <v>0x00</v>
      </c>
      <c r="D477" t="s">
        <v>201</v>
      </c>
      <c r="F477" t="str">
        <f t="shared" si="31"/>
        <v>SWPPROCESS</v>
      </c>
      <c r="G477" s="2" t="s">
        <v>202</v>
      </c>
      <c r="H477" s="3" t="str">
        <f t="shared" si="32"/>
        <v>0x0011</v>
      </c>
      <c r="J477" t="s">
        <v>14</v>
      </c>
      <c r="K477" t="s">
        <v>11</v>
      </c>
    </row>
    <row r="478" spans="1:11" hidden="1" x14ac:dyDescent="0.25">
      <c r="A478" s="1">
        <f t="shared" si="30"/>
        <v>21</v>
      </c>
      <c r="B478">
        <v>15</v>
      </c>
      <c r="C478" t="str">
        <f t="shared" si="33"/>
        <v>0x15</v>
      </c>
      <c r="D478" t="s">
        <v>380</v>
      </c>
      <c r="E478" t="s">
        <v>319</v>
      </c>
      <c r="F478" t="str">
        <f t="shared" si="31"/>
        <v>CVTDG_UC</v>
      </c>
      <c r="G478" s="2" t="s">
        <v>424</v>
      </c>
      <c r="H478" s="3" t="str">
        <f t="shared" si="32"/>
        <v>0x011E</v>
      </c>
      <c r="J478" t="s">
        <v>317</v>
      </c>
      <c r="K478" t="s">
        <v>240</v>
      </c>
    </row>
    <row r="479" spans="1:11" s="5" customFormat="1" hidden="1" x14ac:dyDescent="0.25">
      <c r="A479" s="1">
        <f t="shared" si="30"/>
        <v>0</v>
      </c>
      <c r="B479" s="5">
        <v>0</v>
      </c>
      <c r="C479" s="5" t="str">
        <f t="shared" si="33"/>
        <v>0x00</v>
      </c>
      <c r="D479" s="5" t="s">
        <v>29</v>
      </c>
      <c r="F479" s="5" t="str">
        <f t="shared" si="31"/>
        <v>RDMCES</v>
      </c>
      <c r="G479" s="6" t="s">
        <v>203</v>
      </c>
      <c r="H479" s="7" t="str">
        <f t="shared" si="32"/>
        <v>0x0012</v>
      </c>
      <c r="I479" s="7"/>
      <c r="J479" s="5" t="s">
        <v>14</v>
      </c>
      <c r="K479" s="5" t="s">
        <v>11</v>
      </c>
    </row>
    <row r="480" spans="1:11" hidden="1" x14ac:dyDescent="0.25">
      <c r="A480" s="1">
        <f t="shared" si="30"/>
        <v>21</v>
      </c>
      <c r="B480">
        <v>15</v>
      </c>
      <c r="C480" t="str">
        <f t="shared" si="33"/>
        <v>0x15</v>
      </c>
      <c r="D480" t="s">
        <v>382</v>
      </c>
      <c r="E480" t="s">
        <v>319</v>
      </c>
      <c r="F480" t="str">
        <f t="shared" si="31"/>
        <v>ADDG_UC</v>
      </c>
      <c r="G480" s="2" t="s">
        <v>425</v>
      </c>
      <c r="H480" s="3" t="str">
        <f t="shared" si="32"/>
        <v>0x0120</v>
      </c>
      <c r="J480" t="s">
        <v>317</v>
      </c>
      <c r="K480" t="s">
        <v>240</v>
      </c>
    </row>
    <row r="481" spans="1:11" hidden="1" x14ac:dyDescent="0.25">
      <c r="A481" s="1">
        <f t="shared" si="30"/>
        <v>21</v>
      </c>
      <c r="B481">
        <v>15</v>
      </c>
      <c r="C481" t="str">
        <f t="shared" si="33"/>
        <v>0x15</v>
      </c>
      <c r="D481" t="s">
        <v>384</v>
      </c>
      <c r="E481" t="s">
        <v>319</v>
      </c>
      <c r="F481" t="str">
        <f t="shared" si="31"/>
        <v>SUBG_UC</v>
      </c>
      <c r="G481" s="2" t="s">
        <v>426</v>
      </c>
      <c r="H481" s="3" t="str">
        <f t="shared" si="32"/>
        <v>0x0121</v>
      </c>
      <c r="J481" t="s">
        <v>317</v>
      </c>
      <c r="K481" t="s">
        <v>240</v>
      </c>
    </row>
    <row r="482" spans="1:11" hidden="1" x14ac:dyDescent="0.25">
      <c r="A482" s="1">
        <f t="shared" si="30"/>
        <v>21</v>
      </c>
      <c r="B482">
        <v>15</v>
      </c>
      <c r="C482" t="str">
        <f t="shared" si="33"/>
        <v>0x15</v>
      </c>
      <c r="D482" t="s">
        <v>386</v>
      </c>
      <c r="E482" t="s">
        <v>319</v>
      </c>
      <c r="F482" t="str">
        <f t="shared" si="31"/>
        <v>MULG_UC</v>
      </c>
      <c r="G482" s="2" t="s">
        <v>427</v>
      </c>
      <c r="H482" s="3" t="str">
        <f t="shared" si="32"/>
        <v>0x0122</v>
      </c>
      <c r="J482" t="s">
        <v>317</v>
      </c>
      <c r="K482" t="s">
        <v>240</v>
      </c>
    </row>
    <row r="483" spans="1:11" s="5" customFormat="1" hidden="1" x14ac:dyDescent="0.25">
      <c r="A483" s="1">
        <f t="shared" si="30"/>
        <v>21</v>
      </c>
      <c r="B483" s="5">
        <v>15</v>
      </c>
      <c r="C483" s="5" t="str">
        <f t="shared" si="33"/>
        <v>0x15</v>
      </c>
      <c r="D483" s="5" t="s">
        <v>388</v>
      </c>
      <c r="E483" s="5" t="s">
        <v>319</v>
      </c>
      <c r="F483" s="5" t="str">
        <f t="shared" si="31"/>
        <v>DIVG_UC</v>
      </c>
      <c r="G483" s="6" t="s">
        <v>428</v>
      </c>
      <c r="H483" s="7" t="str">
        <f t="shared" si="32"/>
        <v>0x0123</v>
      </c>
      <c r="I483" s="7"/>
      <c r="J483" s="5" t="s">
        <v>317</v>
      </c>
      <c r="K483" s="5" t="s">
        <v>240</v>
      </c>
    </row>
    <row r="484" spans="1:11" hidden="1" x14ac:dyDescent="0.25">
      <c r="A484" s="1">
        <f t="shared" si="30"/>
        <v>21</v>
      </c>
      <c r="B484">
        <v>15</v>
      </c>
      <c r="C484" t="str">
        <f t="shared" si="33"/>
        <v>0x15</v>
      </c>
      <c r="D484" t="s">
        <v>390</v>
      </c>
      <c r="E484" t="s">
        <v>319</v>
      </c>
      <c r="F484" t="str">
        <f t="shared" si="31"/>
        <v>CVTGF_UC</v>
      </c>
      <c r="G484" s="2" t="s">
        <v>429</v>
      </c>
      <c r="H484" s="3" t="str">
        <f t="shared" si="32"/>
        <v>0x012C</v>
      </c>
      <c r="J484" t="s">
        <v>317</v>
      </c>
      <c r="K484" t="s">
        <v>240</v>
      </c>
    </row>
    <row r="485" spans="1:11" hidden="1" x14ac:dyDescent="0.25">
      <c r="A485" s="1">
        <f t="shared" si="30"/>
        <v>21</v>
      </c>
      <c r="B485">
        <v>15</v>
      </c>
      <c r="C485" t="str">
        <f t="shared" si="33"/>
        <v>0x15</v>
      </c>
      <c r="D485" t="s">
        <v>392</v>
      </c>
      <c r="E485" t="s">
        <v>319</v>
      </c>
      <c r="F485" t="str">
        <f t="shared" si="31"/>
        <v>CVTGD_UC</v>
      </c>
      <c r="G485" s="2" t="s">
        <v>430</v>
      </c>
      <c r="H485" s="3" t="str">
        <f t="shared" si="32"/>
        <v>0x012D</v>
      </c>
      <c r="J485" t="s">
        <v>317</v>
      </c>
      <c r="K485" t="s">
        <v>240</v>
      </c>
    </row>
    <row r="486" spans="1:11" hidden="1" x14ac:dyDescent="0.25">
      <c r="A486" s="1">
        <f t="shared" si="30"/>
        <v>21</v>
      </c>
      <c r="B486">
        <v>15</v>
      </c>
      <c r="C486" t="str">
        <f t="shared" si="33"/>
        <v>0x15</v>
      </c>
      <c r="D486" t="s">
        <v>315</v>
      </c>
      <c r="E486" t="s">
        <v>431</v>
      </c>
      <c r="F486" t="str">
        <f t="shared" si="31"/>
        <v>CVTGQ_NC</v>
      </c>
      <c r="G486" s="2" t="s">
        <v>432</v>
      </c>
      <c r="H486" s="3" t="str">
        <f t="shared" si="32"/>
        <v>0x012F</v>
      </c>
      <c r="J486" t="s">
        <v>317</v>
      </c>
      <c r="K486" t="s">
        <v>240</v>
      </c>
    </row>
    <row r="487" spans="1:11" hidden="1" x14ac:dyDescent="0.25">
      <c r="A487" s="1">
        <f t="shared" si="30"/>
        <v>0</v>
      </c>
      <c r="B487">
        <v>0</v>
      </c>
      <c r="C487" t="str">
        <f t="shared" si="33"/>
        <v>0x00</v>
      </c>
      <c r="D487" t="s">
        <v>31</v>
      </c>
      <c r="F487" t="str">
        <f t="shared" si="31"/>
        <v>WRMCES</v>
      </c>
      <c r="G487" s="2" t="s">
        <v>204</v>
      </c>
      <c r="H487" s="3" t="str">
        <f t="shared" si="32"/>
        <v>0x0013</v>
      </c>
      <c r="J487" t="s">
        <v>14</v>
      </c>
      <c r="K487" t="s">
        <v>11</v>
      </c>
    </row>
    <row r="488" spans="1:11" hidden="1" x14ac:dyDescent="0.25">
      <c r="A488" s="1">
        <f t="shared" si="30"/>
        <v>0</v>
      </c>
      <c r="B488">
        <v>0</v>
      </c>
      <c r="C488" t="str">
        <f t="shared" si="33"/>
        <v>0x00</v>
      </c>
      <c r="D488" t="s">
        <v>37</v>
      </c>
      <c r="F488" t="str">
        <f t="shared" si="31"/>
        <v>TBIA</v>
      </c>
      <c r="G488" s="2" t="s">
        <v>205</v>
      </c>
      <c r="H488" s="3" t="str">
        <f t="shared" si="32"/>
        <v>0x0014</v>
      </c>
      <c r="J488" t="s">
        <v>14</v>
      </c>
      <c r="K488" t="s">
        <v>11</v>
      </c>
    </row>
    <row r="489" spans="1:11" hidden="1" x14ac:dyDescent="0.25">
      <c r="A489" s="1">
        <f t="shared" si="30"/>
        <v>0</v>
      </c>
      <c r="B489">
        <v>0</v>
      </c>
      <c r="C489" t="str">
        <f t="shared" si="33"/>
        <v>0x00</v>
      </c>
      <c r="D489" t="s">
        <v>206</v>
      </c>
      <c r="F489" t="str">
        <f t="shared" si="31"/>
        <v>TBIS</v>
      </c>
      <c r="G489" s="2" t="s">
        <v>207</v>
      </c>
      <c r="H489" s="3" t="str">
        <f t="shared" si="32"/>
        <v>0x0015</v>
      </c>
      <c r="J489" t="s">
        <v>14</v>
      </c>
      <c r="K489" t="s">
        <v>11</v>
      </c>
    </row>
    <row r="490" spans="1:11" hidden="1" x14ac:dyDescent="0.25">
      <c r="A490" s="1">
        <f t="shared" si="30"/>
        <v>0</v>
      </c>
      <c r="B490">
        <v>0</v>
      </c>
      <c r="C490" t="str">
        <f t="shared" si="33"/>
        <v>0x00</v>
      </c>
      <c r="D490" t="s">
        <v>42</v>
      </c>
      <c r="F490" t="str">
        <f t="shared" si="31"/>
        <v>TBISASN</v>
      </c>
      <c r="G490" s="2" t="s">
        <v>208</v>
      </c>
      <c r="H490" s="3" t="str">
        <f t="shared" si="32"/>
        <v>0x0017</v>
      </c>
      <c r="J490" t="s">
        <v>14</v>
      </c>
      <c r="K490" t="s">
        <v>11</v>
      </c>
    </row>
    <row r="491" spans="1:11" hidden="1" x14ac:dyDescent="0.25">
      <c r="A491" s="1">
        <f t="shared" si="30"/>
        <v>0</v>
      </c>
      <c r="B491">
        <v>0</v>
      </c>
      <c r="C491" t="str">
        <f t="shared" si="33"/>
        <v>0x00</v>
      </c>
      <c r="D491" t="s">
        <v>44</v>
      </c>
      <c r="F491" t="str">
        <f t="shared" si="31"/>
        <v>RDKSP</v>
      </c>
      <c r="G491" s="2" t="s">
        <v>209</v>
      </c>
      <c r="H491" s="3" t="str">
        <f t="shared" si="32"/>
        <v>0x0018</v>
      </c>
      <c r="J491" t="s">
        <v>14</v>
      </c>
      <c r="K491" t="s">
        <v>11</v>
      </c>
    </row>
    <row r="492" spans="1:11" hidden="1" x14ac:dyDescent="0.25">
      <c r="A492" s="1">
        <f t="shared" si="30"/>
        <v>21</v>
      </c>
      <c r="B492">
        <v>15</v>
      </c>
      <c r="C492" t="str">
        <f t="shared" si="33"/>
        <v>0x15</v>
      </c>
      <c r="D492" t="s">
        <v>373</v>
      </c>
      <c r="E492" t="s">
        <v>331</v>
      </c>
      <c r="F492" t="str">
        <f t="shared" si="31"/>
        <v>ADDF_U</v>
      </c>
      <c r="G492" s="2" t="s">
        <v>433</v>
      </c>
      <c r="H492" s="3" t="str">
        <f t="shared" si="32"/>
        <v>0x0180</v>
      </c>
      <c r="J492" t="s">
        <v>317</v>
      </c>
      <c r="K492" t="s">
        <v>240</v>
      </c>
    </row>
    <row r="493" spans="1:11" x14ac:dyDescent="0.25">
      <c r="A493" s="1">
        <f t="shared" si="30"/>
        <v>21</v>
      </c>
      <c r="B493">
        <v>15</v>
      </c>
      <c r="C493" t="str">
        <f t="shared" si="33"/>
        <v>0x15</v>
      </c>
      <c r="D493" t="s">
        <v>374</v>
      </c>
      <c r="E493" t="s">
        <v>331</v>
      </c>
      <c r="F493" t="str">
        <f t="shared" si="31"/>
        <v>SUBF_U</v>
      </c>
      <c r="G493" s="2" t="s">
        <v>434</v>
      </c>
      <c r="H493" s="3" t="str">
        <f t="shared" si="32"/>
        <v>0x0181</v>
      </c>
      <c r="J493" t="s">
        <v>317</v>
      </c>
      <c r="K493" t="s">
        <v>240</v>
      </c>
    </row>
    <row r="494" spans="1:11" hidden="1" x14ac:dyDescent="0.25">
      <c r="A494" s="1">
        <f t="shared" si="30"/>
        <v>21</v>
      </c>
      <c r="B494">
        <v>15</v>
      </c>
      <c r="C494" t="str">
        <f t="shared" si="33"/>
        <v>0x15</v>
      </c>
      <c r="D494" t="s">
        <v>375</v>
      </c>
      <c r="E494" t="s">
        <v>331</v>
      </c>
      <c r="F494" t="str">
        <f t="shared" si="31"/>
        <v>MULF_U</v>
      </c>
      <c r="G494" s="2" t="s">
        <v>435</v>
      </c>
      <c r="H494" s="3" t="str">
        <f t="shared" si="32"/>
        <v>0x0182</v>
      </c>
      <c r="J494" t="s">
        <v>317</v>
      </c>
      <c r="K494" t="s">
        <v>240</v>
      </c>
    </row>
    <row r="495" spans="1:11" s="5" customFormat="1" hidden="1" x14ac:dyDescent="0.25">
      <c r="A495" s="1">
        <f t="shared" si="30"/>
        <v>21</v>
      </c>
      <c r="B495" s="5">
        <v>15</v>
      </c>
      <c r="C495" s="5" t="str">
        <f t="shared" si="33"/>
        <v>0x15</v>
      </c>
      <c r="D495" s="5" t="s">
        <v>376</v>
      </c>
      <c r="E495" s="5" t="s">
        <v>331</v>
      </c>
      <c r="F495" s="5" t="str">
        <f t="shared" si="31"/>
        <v>DIVF_U</v>
      </c>
      <c r="G495" s="6" t="s">
        <v>436</v>
      </c>
      <c r="H495" s="7" t="str">
        <f t="shared" si="32"/>
        <v>0x0183</v>
      </c>
      <c r="I495" s="7"/>
      <c r="J495" s="5" t="s">
        <v>317</v>
      </c>
      <c r="K495" s="5" t="s">
        <v>240</v>
      </c>
    </row>
    <row r="496" spans="1:11" hidden="1" x14ac:dyDescent="0.25">
      <c r="A496" s="1">
        <f t="shared" si="30"/>
        <v>0</v>
      </c>
      <c r="B496">
        <v>0</v>
      </c>
      <c r="C496" t="str">
        <f t="shared" si="33"/>
        <v>0x00</v>
      </c>
      <c r="D496" t="s">
        <v>46</v>
      </c>
      <c r="F496" t="str">
        <f t="shared" si="31"/>
        <v>SWPKSP</v>
      </c>
      <c r="G496" s="2" t="s">
        <v>210</v>
      </c>
      <c r="H496" s="3" t="str">
        <f t="shared" si="32"/>
        <v>0x0019</v>
      </c>
      <c r="J496" t="s">
        <v>14</v>
      </c>
      <c r="K496" t="s">
        <v>11</v>
      </c>
    </row>
    <row r="497" spans="1:11" hidden="1" x14ac:dyDescent="0.25">
      <c r="A497" s="1">
        <f t="shared" si="30"/>
        <v>21</v>
      </c>
      <c r="B497">
        <v>15</v>
      </c>
      <c r="C497" t="str">
        <f t="shared" si="33"/>
        <v>0x15</v>
      </c>
      <c r="D497" t="s">
        <v>380</v>
      </c>
      <c r="E497" t="s">
        <v>331</v>
      </c>
      <c r="F497" t="str">
        <f t="shared" si="31"/>
        <v>CVTDG_U</v>
      </c>
      <c r="G497" s="2" t="s">
        <v>437</v>
      </c>
      <c r="H497" s="3" t="str">
        <f t="shared" si="32"/>
        <v>0x019E</v>
      </c>
      <c r="J497" t="s">
        <v>317</v>
      </c>
      <c r="K497" t="s">
        <v>240</v>
      </c>
    </row>
    <row r="498" spans="1:11" s="5" customFormat="1" hidden="1" x14ac:dyDescent="0.25">
      <c r="A498" s="1">
        <f t="shared" si="30"/>
        <v>0</v>
      </c>
      <c r="B498" s="5">
        <v>0</v>
      </c>
      <c r="C498" s="5" t="str">
        <f t="shared" si="33"/>
        <v>0x00</v>
      </c>
      <c r="D498" s="5" t="s">
        <v>106</v>
      </c>
      <c r="F498" s="5" t="str">
        <f t="shared" si="31"/>
        <v>RDPSR</v>
      </c>
      <c r="G498" s="6" t="s">
        <v>211</v>
      </c>
      <c r="H498" s="7" t="str">
        <f t="shared" si="32"/>
        <v>0x001A</v>
      </c>
      <c r="I498" s="7"/>
      <c r="J498" s="5" t="s">
        <v>14</v>
      </c>
      <c r="K498" s="5" t="s">
        <v>11</v>
      </c>
    </row>
    <row r="499" spans="1:11" hidden="1" x14ac:dyDescent="0.25">
      <c r="A499" s="1">
        <f t="shared" si="30"/>
        <v>21</v>
      </c>
      <c r="B499">
        <v>15</v>
      </c>
      <c r="C499" t="str">
        <f t="shared" si="33"/>
        <v>0x15</v>
      </c>
      <c r="D499" t="s">
        <v>382</v>
      </c>
      <c r="E499" t="s">
        <v>331</v>
      </c>
      <c r="F499" t="str">
        <f t="shared" si="31"/>
        <v>ADDG_U</v>
      </c>
      <c r="G499" s="2" t="s">
        <v>438</v>
      </c>
      <c r="H499" s="3" t="str">
        <f t="shared" si="32"/>
        <v>0x01A0</v>
      </c>
      <c r="J499" t="s">
        <v>317</v>
      </c>
      <c r="K499" t="s">
        <v>240</v>
      </c>
    </row>
    <row r="500" spans="1:11" hidden="1" x14ac:dyDescent="0.25">
      <c r="A500" s="1">
        <f t="shared" si="30"/>
        <v>21</v>
      </c>
      <c r="B500">
        <v>15</v>
      </c>
      <c r="C500" t="str">
        <f t="shared" si="33"/>
        <v>0x15</v>
      </c>
      <c r="D500" t="s">
        <v>384</v>
      </c>
      <c r="E500" t="s">
        <v>331</v>
      </c>
      <c r="F500" t="str">
        <f t="shared" si="31"/>
        <v>SUBG_U</v>
      </c>
      <c r="G500" s="2" t="s">
        <v>439</v>
      </c>
      <c r="H500" s="3" t="str">
        <f t="shared" si="32"/>
        <v>0x01A1</v>
      </c>
      <c r="J500" t="s">
        <v>317</v>
      </c>
      <c r="K500" t="s">
        <v>240</v>
      </c>
    </row>
    <row r="501" spans="1:11" hidden="1" x14ac:dyDescent="0.25">
      <c r="A501" s="1">
        <f t="shared" si="30"/>
        <v>21</v>
      </c>
      <c r="B501">
        <v>15</v>
      </c>
      <c r="C501" t="str">
        <f t="shared" si="33"/>
        <v>0x15</v>
      </c>
      <c r="D501" t="s">
        <v>386</v>
      </c>
      <c r="E501" t="s">
        <v>331</v>
      </c>
      <c r="F501" t="str">
        <f t="shared" si="31"/>
        <v>MULG_U</v>
      </c>
      <c r="G501" s="2" t="s">
        <v>440</v>
      </c>
      <c r="H501" s="3" t="str">
        <f t="shared" si="32"/>
        <v>0x01A2</v>
      </c>
      <c r="J501" t="s">
        <v>317</v>
      </c>
      <c r="K501" t="s">
        <v>240</v>
      </c>
    </row>
    <row r="502" spans="1:11" s="5" customFormat="1" hidden="1" x14ac:dyDescent="0.25">
      <c r="A502" s="1">
        <f t="shared" si="30"/>
        <v>21</v>
      </c>
      <c r="B502" s="5">
        <v>15</v>
      </c>
      <c r="C502" s="5" t="str">
        <f t="shared" si="33"/>
        <v>0x15</v>
      </c>
      <c r="D502" s="5" t="s">
        <v>388</v>
      </c>
      <c r="E502" s="5" t="s">
        <v>331</v>
      </c>
      <c r="F502" s="5" t="str">
        <f t="shared" si="31"/>
        <v>DIVG_U</v>
      </c>
      <c r="G502" s="6" t="s">
        <v>441</v>
      </c>
      <c r="H502" s="7" t="str">
        <f t="shared" si="32"/>
        <v>0x01A3</v>
      </c>
      <c r="I502" s="7"/>
      <c r="J502" s="5" t="s">
        <v>317</v>
      </c>
      <c r="K502" s="5" t="s">
        <v>240</v>
      </c>
    </row>
    <row r="503" spans="1:11" hidden="1" x14ac:dyDescent="0.25">
      <c r="A503" s="1">
        <f t="shared" si="30"/>
        <v>21</v>
      </c>
      <c r="B503">
        <v>15</v>
      </c>
      <c r="C503" t="str">
        <f t="shared" si="33"/>
        <v>0x15</v>
      </c>
      <c r="D503" t="s">
        <v>390</v>
      </c>
      <c r="E503" t="s">
        <v>331</v>
      </c>
      <c r="F503" t="str">
        <f t="shared" si="31"/>
        <v>CVTGF_U</v>
      </c>
      <c r="G503" s="2" t="s">
        <v>442</v>
      </c>
      <c r="H503" s="3" t="str">
        <f t="shared" si="32"/>
        <v>0x01AC</v>
      </c>
      <c r="J503" t="s">
        <v>317</v>
      </c>
      <c r="K503" t="s">
        <v>240</v>
      </c>
    </row>
    <row r="504" spans="1:11" hidden="1" x14ac:dyDescent="0.25">
      <c r="A504" s="1">
        <f t="shared" si="30"/>
        <v>21</v>
      </c>
      <c r="B504">
        <v>15</v>
      </c>
      <c r="C504" t="str">
        <f t="shared" si="33"/>
        <v>0x15</v>
      </c>
      <c r="D504" t="s">
        <v>392</v>
      </c>
      <c r="E504" t="s">
        <v>331</v>
      </c>
      <c r="F504" t="str">
        <f t="shared" si="31"/>
        <v>CVTGD_U</v>
      </c>
      <c r="G504" s="2" t="s">
        <v>443</v>
      </c>
      <c r="H504" s="3" t="str">
        <f t="shared" si="32"/>
        <v>0x01AD</v>
      </c>
      <c r="J504" t="s">
        <v>317</v>
      </c>
      <c r="K504" t="s">
        <v>240</v>
      </c>
    </row>
    <row r="505" spans="1:11" hidden="1" x14ac:dyDescent="0.25">
      <c r="A505" s="1">
        <f t="shared" si="30"/>
        <v>21</v>
      </c>
      <c r="B505">
        <v>15</v>
      </c>
      <c r="C505" t="str">
        <f t="shared" si="33"/>
        <v>0x15</v>
      </c>
      <c r="D505" t="s">
        <v>315</v>
      </c>
      <c r="E505" t="s">
        <v>263</v>
      </c>
      <c r="F505" t="str">
        <f t="shared" si="31"/>
        <v>CVTGQ_V</v>
      </c>
      <c r="G505" s="2" t="s">
        <v>444</v>
      </c>
      <c r="H505" s="3" t="str">
        <f t="shared" si="32"/>
        <v>0x01AF</v>
      </c>
      <c r="J505" t="s">
        <v>317</v>
      </c>
      <c r="K505" t="s">
        <v>240</v>
      </c>
    </row>
    <row r="506" spans="1:11" hidden="1" x14ac:dyDescent="0.25">
      <c r="A506" s="1">
        <f t="shared" si="30"/>
        <v>16</v>
      </c>
      <c r="B506">
        <v>10</v>
      </c>
      <c r="C506" t="str">
        <f t="shared" si="33"/>
        <v>0x10</v>
      </c>
      <c r="D506" t="s">
        <v>258</v>
      </c>
      <c r="E506" t="s">
        <v>217</v>
      </c>
      <c r="F506" t="str">
        <f t="shared" si="31"/>
        <v>S8SUBL</v>
      </c>
      <c r="G506" s="2" t="s">
        <v>259</v>
      </c>
      <c r="H506" s="3" t="str">
        <f t="shared" si="32"/>
        <v>0x001B</v>
      </c>
      <c r="J506" t="s">
        <v>14</v>
      </c>
      <c r="K506" t="s">
        <v>236</v>
      </c>
    </row>
    <row r="507" spans="1:11" s="5" customFormat="1" hidden="1" x14ac:dyDescent="0.25">
      <c r="A507" s="1">
        <f t="shared" si="30"/>
        <v>18</v>
      </c>
      <c r="B507" s="5">
        <v>12</v>
      </c>
      <c r="C507" s="5" t="str">
        <f t="shared" si="33"/>
        <v>0x12</v>
      </c>
      <c r="D507" s="5" t="s">
        <v>299</v>
      </c>
      <c r="E507" s="5" t="s">
        <v>217</v>
      </c>
      <c r="F507" s="5" t="str">
        <f t="shared" si="31"/>
        <v>INSWL</v>
      </c>
      <c r="G507" s="6" t="s">
        <v>259</v>
      </c>
      <c r="H507" s="7" t="str">
        <f t="shared" si="32"/>
        <v>0x001B</v>
      </c>
      <c r="I507" s="7"/>
      <c r="J507" s="5" t="s">
        <v>14</v>
      </c>
      <c r="K507" s="5" t="s">
        <v>236</v>
      </c>
    </row>
    <row r="508" spans="1:11" s="5" customFormat="1" hidden="1" x14ac:dyDescent="0.25">
      <c r="A508" s="1">
        <f t="shared" si="30"/>
        <v>16</v>
      </c>
      <c r="B508" s="5">
        <v>10</v>
      </c>
      <c r="C508" s="5" t="str">
        <f t="shared" si="33"/>
        <v>0x10</v>
      </c>
      <c r="D508" s="5" t="s">
        <v>249</v>
      </c>
      <c r="E508" s="5" t="s">
        <v>217</v>
      </c>
      <c r="F508" s="5" t="str">
        <f t="shared" si="31"/>
        <v>CMPULT</v>
      </c>
      <c r="G508" s="6" t="s">
        <v>250</v>
      </c>
      <c r="H508" s="7" t="str">
        <f t="shared" si="32"/>
        <v>0x001D</v>
      </c>
      <c r="I508" s="7"/>
      <c r="J508" s="5" t="s">
        <v>14</v>
      </c>
      <c r="K508" s="5" t="s">
        <v>236</v>
      </c>
    </row>
    <row r="509" spans="1:11" hidden="1" x14ac:dyDescent="0.25">
      <c r="A509" s="1">
        <f t="shared" si="30"/>
        <v>0</v>
      </c>
      <c r="B509">
        <v>0</v>
      </c>
      <c r="C509" t="str">
        <f t="shared" si="33"/>
        <v>0x00</v>
      </c>
      <c r="D509" t="s">
        <v>15</v>
      </c>
      <c r="F509" t="str">
        <f t="shared" si="31"/>
        <v>REBOOT</v>
      </c>
      <c r="G509" s="2" t="s">
        <v>212</v>
      </c>
      <c r="H509" s="3" t="str">
        <f t="shared" si="32"/>
        <v>0x0002</v>
      </c>
      <c r="J509" t="s">
        <v>14</v>
      </c>
      <c r="K509" t="s">
        <v>11</v>
      </c>
    </row>
    <row r="510" spans="1:11" hidden="1" x14ac:dyDescent="0.25">
      <c r="A510" s="1">
        <f t="shared" ref="A510:A573" si="34">HEX2DEC(B510)</f>
        <v>0</v>
      </c>
      <c r="B510">
        <v>0</v>
      </c>
      <c r="C510" t="str">
        <f t="shared" si="33"/>
        <v>0x00</v>
      </c>
      <c r="D510" t="s">
        <v>48</v>
      </c>
      <c r="F510" t="str">
        <f t="shared" ref="F510:F573" si="35">IF(TRIM(E510)="",TRIM(D510),TRIM(D510)&amp;"_"&amp;TRIM(E510))</f>
        <v>WRPERFMON</v>
      </c>
      <c r="G510" s="2" t="s">
        <v>213</v>
      </c>
      <c r="H510" s="3" t="str">
        <f t="shared" si="32"/>
        <v>0x0020</v>
      </c>
      <c r="J510" t="s">
        <v>14</v>
      </c>
      <c r="K510" t="s">
        <v>11</v>
      </c>
    </row>
    <row r="511" spans="1:11" hidden="1" x14ac:dyDescent="0.25">
      <c r="A511" s="1">
        <f t="shared" si="34"/>
        <v>16</v>
      </c>
      <c r="B511">
        <v>10</v>
      </c>
      <c r="C511" t="str">
        <f t="shared" si="33"/>
        <v>0x10</v>
      </c>
      <c r="D511" t="s">
        <v>254</v>
      </c>
      <c r="E511" t="s">
        <v>217</v>
      </c>
      <c r="F511" t="str">
        <f t="shared" si="35"/>
        <v>S4SUBQ</v>
      </c>
      <c r="G511" s="2" t="s">
        <v>255</v>
      </c>
      <c r="H511" s="3" t="str">
        <f t="shared" si="32"/>
        <v>0x002B</v>
      </c>
      <c r="J511" t="s">
        <v>14</v>
      </c>
      <c r="K511" t="s">
        <v>236</v>
      </c>
    </row>
    <row r="512" spans="1:11" s="5" customFormat="1" hidden="1" x14ac:dyDescent="0.25">
      <c r="A512" s="1">
        <f t="shared" si="34"/>
        <v>18</v>
      </c>
      <c r="B512" s="5">
        <v>12</v>
      </c>
      <c r="C512" s="5" t="str">
        <f t="shared" si="33"/>
        <v>0x12</v>
      </c>
      <c r="D512" s="5" t="s">
        <v>300</v>
      </c>
      <c r="E512" s="5" t="s">
        <v>217</v>
      </c>
      <c r="F512" s="5" t="str">
        <f t="shared" si="35"/>
        <v>INSLL</v>
      </c>
      <c r="G512" s="6" t="s">
        <v>255</v>
      </c>
      <c r="H512" s="7" t="str">
        <f t="shared" si="32"/>
        <v>0x002B</v>
      </c>
      <c r="I512" s="7"/>
      <c r="J512" s="5" t="s">
        <v>14</v>
      </c>
      <c r="K512" s="5" t="s">
        <v>236</v>
      </c>
    </row>
    <row r="513" spans="1:11" s="5" customFormat="1" hidden="1" x14ac:dyDescent="0.25">
      <c r="A513" s="1">
        <f t="shared" si="34"/>
        <v>16</v>
      </c>
      <c r="B513" s="5">
        <v>10</v>
      </c>
      <c r="C513" s="5" t="str">
        <f t="shared" si="33"/>
        <v>0x10</v>
      </c>
      <c r="D513" s="5" t="s">
        <v>241</v>
      </c>
      <c r="E513" s="5" t="s">
        <v>217</v>
      </c>
      <c r="F513" s="5" t="str">
        <f t="shared" si="35"/>
        <v>CMPEQ</v>
      </c>
      <c r="G513" s="6" t="s">
        <v>242</v>
      </c>
      <c r="H513" s="7" t="str">
        <f t="shared" si="32"/>
        <v>0x002D</v>
      </c>
      <c r="I513" s="7"/>
      <c r="J513" s="5" t="s">
        <v>14</v>
      </c>
      <c r="K513" s="5" t="s">
        <v>240</v>
      </c>
    </row>
    <row r="514" spans="1:11" hidden="1" x14ac:dyDescent="0.25">
      <c r="A514" s="1">
        <f t="shared" si="34"/>
        <v>16</v>
      </c>
      <c r="B514">
        <v>10</v>
      </c>
      <c r="C514" t="str">
        <f t="shared" si="33"/>
        <v>0x10</v>
      </c>
      <c r="D514" t="s">
        <v>260</v>
      </c>
      <c r="E514" t="s">
        <v>217</v>
      </c>
      <c r="F514" t="str">
        <f t="shared" si="35"/>
        <v>S8SUBQ</v>
      </c>
      <c r="G514" s="2" t="s">
        <v>261</v>
      </c>
      <c r="H514" s="3" t="str">
        <f t="shared" si="32"/>
        <v>0x003B</v>
      </c>
      <c r="J514" t="s">
        <v>14</v>
      </c>
      <c r="K514" t="s">
        <v>236</v>
      </c>
    </row>
    <row r="515" spans="1:11" s="5" customFormat="1" hidden="1" x14ac:dyDescent="0.25">
      <c r="A515" s="1">
        <f t="shared" si="34"/>
        <v>18</v>
      </c>
      <c r="B515" s="5">
        <v>12</v>
      </c>
      <c r="C515" s="5" t="str">
        <f t="shared" si="33"/>
        <v>0x12</v>
      </c>
      <c r="D515" s="5" t="s">
        <v>301</v>
      </c>
      <c r="E515" s="5" t="s">
        <v>217</v>
      </c>
      <c r="F515" s="5" t="str">
        <f t="shared" si="35"/>
        <v>INSQL</v>
      </c>
      <c r="G515" s="6" t="s">
        <v>261</v>
      </c>
      <c r="H515" s="7" t="str">
        <f t="shared" si="32"/>
        <v>0x003B</v>
      </c>
      <c r="I515" s="7"/>
      <c r="J515" s="5" t="s">
        <v>14</v>
      </c>
      <c r="K515" s="5" t="s">
        <v>236</v>
      </c>
    </row>
    <row r="516" spans="1:11" s="5" customFormat="1" hidden="1" x14ac:dyDescent="0.25">
      <c r="A516" s="1">
        <f t="shared" si="34"/>
        <v>18</v>
      </c>
      <c r="B516" s="5">
        <v>12</v>
      </c>
      <c r="C516" s="5" t="str">
        <f t="shared" si="33"/>
        <v>0x12</v>
      </c>
      <c r="D516" s="5" t="s">
        <v>302</v>
      </c>
      <c r="E516" s="5" t="s">
        <v>217</v>
      </c>
      <c r="F516" s="5" t="str">
        <f t="shared" si="35"/>
        <v>SRA</v>
      </c>
      <c r="G516" s="6" t="s">
        <v>303</v>
      </c>
      <c r="H516" s="7" t="str">
        <f t="shared" si="32"/>
        <v>0x003C</v>
      </c>
      <c r="I516" s="7"/>
      <c r="J516" s="5" t="s">
        <v>14</v>
      </c>
      <c r="K516" s="5" t="s">
        <v>236</v>
      </c>
    </row>
    <row r="517" spans="1:11" s="5" customFormat="1" hidden="1" x14ac:dyDescent="0.25">
      <c r="A517" s="1">
        <f t="shared" si="34"/>
        <v>16</v>
      </c>
      <c r="B517" s="5">
        <v>10</v>
      </c>
      <c r="C517" s="5" t="str">
        <f t="shared" si="33"/>
        <v>0x10</v>
      </c>
      <c r="D517" s="5" t="s">
        <v>247</v>
      </c>
      <c r="E517" s="5" t="s">
        <v>217</v>
      </c>
      <c r="F517" s="5" t="str">
        <f t="shared" si="35"/>
        <v>CMPULE</v>
      </c>
      <c r="G517" s="6" t="s">
        <v>248</v>
      </c>
      <c r="H517" s="7" t="str">
        <f t="shared" si="32"/>
        <v>0x003D</v>
      </c>
      <c r="I517" s="7"/>
      <c r="J517" s="5" t="s">
        <v>14</v>
      </c>
      <c r="K517" s="5" t="s">
        <v>236</v>
      </c>
    </row>
    <row r="518" spans="1:11" hidden="1" x14ac:dyDescent="0.25">
      <c r="A518" s="1">
        <f t="shared" si="34"/>
        <v>21</v>
      </c>
      <c r="B518">
        <v>15</v>
      </c>
      <c r="C518" t="str">
        <f t="shared" si="33"/>
        <v>0x15</v>
      </c>
      <c r="D518" t="s">
        <v>373</v>
      </c>
      <c r="E518" t="s">
        <v>339</v>
      </c>
      <c r="F518" t="str">
        <f t="shared" si="35"/>
        <v>ADDF_SC</v>
      </c>
      <c r="G518" s="2" t="s">
        <v>445</v>
      </c>
      <c r="H518" s="3" t="str">
        <f t="shared" si="32"/>
        <v>0x0400</v>
      </c>
      <c r="J518" t="s">
        <v>317</v>
      </c>
      <c r="K518" t="s">
        <v>240</v>
      </c>
    </row>
    <row r="519" spans="1:11" x14ac:dyDescent="0.25">
      <c r="A519" s="1">
        <f t="shared" si="34"/>
        <v>21</v>
      </c>
      <c r="B519">
        <v>15</v>
      </c>
      <c r="C519" t="str">
        <f t="shared" si="33"/>
        <v>0x15</v>
      </c>
      <c r="D519" t="s">
        <v>374</v>
      </c>
      <c r="E519" t="s">
        <v>339</v>
      </c>
      <c r="F519" t="str">
        <f t="shared" si="35"/>
        <v>SUBF_SC</v>
      </c>
      <c r="G519" s="2" t="s">
        <v>446</v>
      </c>
      <c r="H519" s="3" t="str">
        <f t="shared" si="32"/>
        <v>0x0401</v>
      </c>
      <c r="J519" t="s">
        <v>317</v>
      </c>
      <c r="K519" t="s">
        <v>240</v>
      </c>
    </row>
    <row r="520" spans="1:11" hidden="1" x14ac:dyDescent="0.25">
      <c r="A520" s="1">
        <f t="shared" si="34"/>
        <v>21</v>
      </c>
      <c r="B520">
        <v>15</v>
      </c>
      <c r="C520" t="str">
        <f t="shared" si="33"/>
        <v>0x15</v>
      </c>
      <c r="D520" t="s">
        <v>375</v>
      </c>
      <c r="E520" t="s">
        <v>339</v>
      </c>
      <c r="F520" t="str">
        <f t="shared" si="35"/>
        <v>MULF_SC</v>
      </c>
      <c r="G520" s="2" t="s">
        <v>447</v>
      </c>
      <c r="H520" s="3" t="str">
        <f t="shared" si="32"/>
        <v>0x0402</v>
      </c>
      <c r="J520" t="s">
        <v>317</v>
      </c>
      <c r="K520" t="s">
        <v>240</v>
      </c>
    </row>
    <row r="521" spans="1:11" s="5" customFormat="1" hidden="1" x14ac:dyDescent="0.25">
      <c r="A521" s="1">
        <f t="shared" si="34"/>
        <v>21</v>
      </c>
      <c r="B521" s="5">
        <v>15</v>
      </c>
      <c r="C521" s="5" t="str">
        <f t="shared" si="33"/>
        <v>0x15</v>
      </c>
      <c r="D521" s="5" t="s">
        <v>376</v>
      </c>
      <c r="E521" s="5" t="s">
        <v>339</v>
      </c>
      <c r="F521" s="5" t="str">
        <f t="shared" si="35"/>
        <v>DIVF_SC</v>
      </c>
      <c r="G521" s="6" t="s">
        <v>448</v>
      </c>
      <c r="H521" s="7" t="str">
        <f t="shared" si="32"/>
        <v>0x0403</v>
      </c>
      <c r="I521" s="7"/>
      <c r="J521" s="5" t="s">
        <v>317</v>
      </c>
      <c r="K521" s="5" t="s">
        <v>240</v>
      </c>
    </row>
    <row r="522" spans="1:11" hidden="1" x14ac:dyDescent="0.25">
      <c r="A522" s="1">
        <f t="shared" si="34"/>
        <v>21</v>
      </c>
      <c r="B522">
        <v>15</v>
      </c>
      <c r="C522" t="str">
        <f t="shared" si="33"/>
        <v>0x15</v>
      </c>
      <c r="D522" t="s">
        <v>380</v>
      </c>
      <c r="E522" t="s">
        <v>339</v>
      </c>
      <c r="F522" t="str">
        <f t="shared" si="35"/>
        <v>CVTDG_SC</v>
      </c>
      <c r="G522" s="2" t="s">
        <v>449</v>
      </c>
      <c r="H522" s="3" t="str">
        <f t="shared" si="32"/>
        <v>0x041E</v>
      </c>
      <c r="J522" t="s">
        <v>317</v>
      </c>
      <c r="K522" t="s">
        <v>240</v>
      </c>
    </row>
    <row r="523" spans="1:11" hidden="1" x14ac:dyDescent="0.25">
      <c r="A523" s="1">
        <f t="shared" si="34"/>
        <v>21</v>
      </c>
      <c r="B523">
        <v>15</v>
      </c>
      <c r="C523" t="str">
        <f t="shared" si="33"/>
        <v>0x15</v>
      </c>
      <c r="D523" t="s">
        <v>382</v>
      </c>
      <c r="E523" t="s">
        <v>339</v>
      </c>
      <c r="F523" t="str">
        <f t="shared" si="35"/>
        <v>ADDG_SC</v>
      </c>
      <c r="G523" s="2" t="s">
        <v>450</v>
      </c>
      <c r="H523" s="3" t="str">
        <f t="shared" si="32"/>
        <v>0x0420</v>
      </c>
      <c r="J523" t="s">
        <v>317</v>
      </c>
      <c r="K523" t="s">
        <v>240</v>
      </c>
    </row>
    <row r="524" spans="1:11" hidden="1" x14ac:dyDescent="0.25">
      <c r="A524" s="1">
        <f t="shared" si="34"/>
        <v>21</v>
      </c>
      <c r="B524">
        <v>15</v>
      </c>
      <c r="C524" t="str">
        <f t="shared" si="33"/>
        <v>0x15</v>
      </c>
      <c r="D524" t="s">
        <v>384</v>
      </c>
      <c r="E524" t="s">
        <v>339</v>
      </c>
      <c r="F524" t="str">
        <f t="shared" si="35"/>
        <v>SUBG_SC</v>
      </c>
      <c r="G524" s="2" t="s">
        <v>451</v>
      </c>
      <c r="H524" s="3" t="str">
        <f t="shared" si="32"/>
        <v>0x0421</v>
      </c>
      <c r="J524" t="s">
        <v>317</v>
      </c>
      <c r="K524" t="s">
        <v>240</v>
      </c>
    </row>
    <row r="525" spans="1:11" hidden="1" x14ac:dyDescent="0.25">
      <c r="A525" s="1">
        <f t="shared" si="34"/>
        <v>21</v>
      </c>
      <c r="B525">
        <v>15</v>
      </c>
      <c r="C525" t="str">
        <f t="shared" si="33"/>
        <v>0x15</v>
      </c>
      <c r="D525" t="s">
        <v>386</v>
      </c>
      <c r="E525" t="s">
        <v>339</v>
      </c>
      <c r="F525" t="str">
        <f t="shared" si="35"/>
        <v>MULG_SC</v>
      </c>
      <c r="G525" s="2" t="s">
        <v>452</v>
      </c>
      <c r="H525" s="3" t="str">
        <f t="shared" si="32"/>
        <v>0x0422</v>
      </c>
      <c r="J525" t="s">
        <v>317</v>
      </c>
      <c r="K525" t="s">
        <v>240</v>
      </c>
    </row>
    <row r="526" spans="1:11" s="5" customFormat="1" hidden="1" x14ac:dyDescent="0.25">
      <c r="A526" s="1">
        <f t="shared" si="34"/>
        <v>21</v>
      </c>
      <c r="B526" s="5">
        <v>15</v>
      </c>
      <c r="C526" s="5" t="str">
        <f t="shared" si="33"/>
        <v>0x15</v>
      </c>
      <c r="D526" s="5" t="s">
        <v>388</v>
      </c>
      <c r="E526" s="5" t="s">
        <v>339</v>
      </c>
      <c r="F526" s="5" t="str">
        <f t="shared" si="35"/>
        <v>DIVG_SC</v>
      </c>
      <c r="G526" s="6" t="s">
        <v>453</v>
      </c>
      <c r="H526" s="7" t="str">
        <f t="shared" si="32"/>
        <v>0x0423</v>
      </c>
      <c r="I526" s="7"/>
      <c r="J526" s="5" t="s">
        <v>317</v>
      </c>
      <c r="K526" s="5" t="s">
        <v>240</v>
      </c>
    </row>
    <row r="527" spans="1:11" hidden="1" x14ac:dyDescent="0.25">
      <c r="A527" s="1">
        <f t="shared" si="34"/>
        <v>21</v>
      </c>
      <c r="B527">
        <v>15</v>
      </c>
      <c r="C527" t="str">
        <f t="shared" si="33"/>
        <v>0x15</v>
      </c>
      <c r="D527" t="s">
        <v>390</v>
      </c>
      <c r="E527" t="s">
        <v>339</v>
      </c>
      <c r="F527" t="str">
        <f t="shared" si="35"/>
        <v>CVTGF_SC</v>
      </c>
      <c r="G527" s="2" t="s">
        <v>454</v>
      </c>
      <c r="H527" s="3" t="str">
        <f t="shared" si="32"/>
        <v>0x042C</v>
      </c>
      <c r="J527" t="s">
        <v>317</v>
      </c>
      <c r="K527" t="s">
        <v>240</v>
      </c>
    </row>
    <row r="528" spans="1:11" hidden="1" x14ac:dyDescent="0.25">
      <c r="A528" s="1">
        <f t="shared" si="34"/>
        <v>21</v>
      </c>
      <c r="B528">
        <v>15</v>
      </c>
      <c r="C528" t="str">
        <f t="shared" si="33"/>
        <v>0x15</v>
      </c>
      <c r="D528" t="s">
        <v>392</v>
      </c>
      <c r="E528" t="s">
        <v>339</v>
      </c>
      <c r="F528" t="str">
        <f t="shared" si="35"/>
        <v>CVTGD_SC</v>
      </c>
      <c r="G528" s="2" t="s">
        <v>455</v>
      </c>
      <c r="H528" s="3" t="str">
        <f t="shared" si="32"/>
        <v>0x042D</v>
      </c>
      <c r="J528" t="s">
        <v>317</v>
      </c>
      <c r="K528" t="s">
        <v>240</v>
      </c>
    </row>
    <row r="529" spans="1:11" hidden="1" x14ac:dyDescent="0.25">
      <c r="A529" s="1">
        <f t="shared" si="34"/>
        <v>21</v>
      </c>
      <c r="B529">
        <v>15</v>
      </c>
      <c r="C529" t="str">
        <f t="shared" si="33"/>
        <v>0x15</v>
      </c>
      <c r="D529" t="s">
        <v>315</v>
      </c>
      <c r="E529" t="s">
        <v>339</v>
      </c>
      <c r="F529" t="str">
        <f t="shared" si="35"/>
        <v>CVTGQ_SC</v>
      </c>
      <c r="G529" s="2" t="s">
        <v>456</v>
      </c>
      <c r="H529" s="3" t="str">
        <f t="shared" si="32"/>
        <v>0x042F</v>
      </c>
      <c r="J529" t="s">
        <v>317</v>
      </c>
      <c r="K529" t="s">
        <v>240</v>
      </c>
    </row>
    <row r="530" spans="1:11" hidden="1" x14ac:dyDescent="0.25">
      <c r="A530" s="1">
        <f t="shared" si="34"/>
        <v>21</v>
      </c>
      <c r="B530">
        <v>15</v>
      </c>
      <c r="C530" t="str">
        <f t="shared" si="33"/>
        <v>0x15</v>
      </c>
      <c r="D530" t="s">
        <v>373</v>
      </c>
      <c r="E530" t="s">
        <v>457</v>
      </c>
      <c r="F530" t="str">
        <f t="shared" si="35"/>
        <v>ADDF_IS</v>
      </c>
      <c r="G530" s="2" t="s">
        <v>458</v>
      </c>
      <c r="H530" s="3" t="str">
        <f t="shared" si="32"/>
        <v>0x0480</v>
      </c>
      <c r="J530" t="s">
        <v>317</v>
      </c>
      <c r="K530" t="s">
        <v>240</v>
      </c>
    </row>
    <row r="531" spans="1:11" x14ac:dyDescent="0.25">
      <c r="A531" s="1">
        <f t="shared" si="34"/>
        <v>21</v>
      </c>
      <c r="B531">
        <v>15</v>
      </c>
      <c r="C531" t="str">
        <f t="shared" si="33"/>
        <v>0x15</v>
      </c>
      <c r="D531" t="s">
        <v>374</v>
      </c>
      <c r="E531" t="s">
        <v>342</v>
      </c>
      <c r="F531" t="str">
        <f t="shared" si="35"/>
        <v>SUBF_S</v>
      </c>
      <c r="G531" s="2" t="s">
        <v>459</v>
      </c>
      <c r="H531" s="3" t="str">
        <f t="shared" si="32"/>
        <v>0x0481</v>
      </c>
      <c r="J531" t="s">
        <v>317</v>
      </c>
      <c r="K531" t="s">
        <v>240</v>
      </c>
    </row>
    <row r="532" spans="1:11" hidden="1" x14ac:dyDescent="0.25">
      <c r="A532" s="1">
        <f t="shared" si="34"/>
        <v>21</v>
      </c>
      <c r="B532">
        <v>15</v>
      </c>
      <c r="C532" t="str">
        <f t="shared" si="33"/>
        <v>0x15</v>
      </c>
      <c r="D532" t="s">
        <v>375</v>
      </c>
      <c r="E532" t="s">
        <v>457</v>
      </c>
      <c r="F532" t="str">
        <f t="shared" si="35"/>
        <v>MULF_IS</v>
      </c>
      <c r="G532" s="2" t="s">
        <v>460</v>
      </c>
      <c r="H532" s="3" t="str">
        <f t="shared" si="32"/>
        <v>0x0482</v>
      </c>
      <c r="J532" t="s">
        <v>317</v>
      </c>
      <c r="K532" t="s">
        <v>240</v>
      </c>
    </row>
    <row r="533" spans="1:11" s="5" customFormat="1" hidden="1" x14ac:dyDescent="0.25">
      <c r="A533" s="1">
        <f t="shared" si="34"/>
        <v>21</v>
      </c>
      <c r="B533" s="5">
        <v>15</v>
      </c>
      <c r="C533" s="5" t="str">
        <f t="shared" si="33"/>
        <v>0x15</v>
      </c>
      <c r="D533" s="5" t="s">
        <v>376</v>
      </c>
      <c r="E533" s="5" t="s">
        <v>342</v>
      </c>
      <c r="F533" s="5" t="str">
        <f t="shared" si="35"/>
        <v>DIVF_S</v>
      </c>
      <c r="G533" s="6" t="s">
        <v>461</v>
      </c>
      <c r="H533" s="7" t="str">
        <f t="shared" si="32"/>
        <v>0x0483</v>
      </c>
      <c r="I533" s="7"/>
      <c r="J533" s="5" t="s">
        <v>317</v>
      </c>
      <c r="K533" s="5" t="s">
        <v>240</v>
      </c>
    </row>
    <row r="534" spans="1:11" hidden="1" x14ac:dyDescent="0.25">
      <c r="A534" s="1">
        <f t="shared" si="34"/>
        <v>21</v>
      </c>
      <c r="B534">
        <v>15</v>
      </c>
      <c r="C534" t="str">
        <f t="shared" si="33"/>
        <v>0x15</v>
      </c>
      <c r="D534" t="s">
        <v>380</v>
      </c>
      <c r="E534" t="s">
        <v>457</v>
      </c>
      <c r="F534" t="str">
        <f t="shared" si="35"/>
        <v>CVTDG_IS</v>
      </c>
      <c r="G534" s="2" t="s">
        <v>462</v>
      </c>
      <c r="H534" s="3" t="str">
        <f t="shared" si="32"/>
        <v>0x049E</v>
      </c>
      <c r="J534" t="s">
        <v>317</v>
      </c>
      <c r="K534" t="s">
        <v>240</v>
      </c>
    </row>
    <row r="535" spans="1:11" hidden="1" x14ac:dyDescent="0.25">
      <c r="A535" s="1">
        <f t="shared" si="34"/>
        <v>21</v>
      </c>
      <c r="B535">
        <v>15</v>
      </c>
      <c r="C535" t="str">
        <f t="shared" si="33"/>
        <v>0x15</v>
      </c>
      <c r="D535" t="s">
        <v>382</v>
      </c>
      <c r="E535" t="s">
        <v>342</v>
      </c>
      <c r="F535" t="str">
        <f t="shared" si="35"/>
        <v>ADDG_S</v>
      </c>
      <c r="G535" s="2" t="s">
        <v>463</v>
      </c>
      <c r="H535" s="3" t="str">
        <f t="shared" ref="H535:H596" si="36">"0x"&amp;RIGHT("0000"&amp;UPPER(SUBSTITUTE(TRIM(G535),"0X","")),4)</f>
        <v>0x04A0</v>
      </c>
      <c r="J535" t="s">
        <v>317</v>
      </c>
      <c r="K535" t="s">
        <v>240</v>
      </c>
    </row>
    <row r="536" spans="1:11" hidden="1" x14ac:dyDescent="0.25">
      <c r="A536" s="1">
        <f t="shared" si="34"/>
        <v>21</v>
      </c>
      <c r="B536">
        <v>15</v>
      </c>
      <c r="C536" t="str">
        <f t="shared" si="33"/>
        <v>0x15</v>
      </c>
      <c r="D536" t="s">
        <v>384</v>
      </c>
      <c r="E536" t="s">
        <v>457</v>
      </c>
      <c r="F536" t="str">
        <f t="shared" si="35"/>
        <v>SUBG_IS</v>
      </c>
      <c r="G536" s="2" t="s">
        <v>464</v>
      </c>
      <c r="H536" s="3" t="str">
        <f t="shared" si="36"/>
        <v>0x04A1</v>
      </c>
      <c r="J536" t="s">
        <v>317</v>
      </c>
      <c r="K536" t="s">
        <v>240</v>
      </c>
    </row>
    <row r="537" spans="1:11" hidden="1" x14ac:dyDescent="0.25">
      <c r="A537" s="1">
        <f t="shared" si="34"/>
        <v>21</v>
      </c>
      <c r="B537">
        <v>15</v>
      </c>
      <c r="C537" t="str">
        <f t="shared" si="33"/>
        <v>0x15</v>
      </c>
      <c r="D537" t="s">
        <v>386</v>
      </c>
      <c r="E537" t="s">
        <v>457</v>
      </c>
      <c r="F537" t="str">
        <f t="shared" si="35"/>
        <v>MULG_IS</v>
      </c>
      <c r="G537" s="2" t="s">
        <v>465</v>
      </c>
      <c r="H537" s="3" t="str">
        <f t="shared" si="36"/>
        <v>0x04A2</v>
      </c>
      <c r="J537" t="s">
        <v>317</v>
      </c>
      <c r="K537" t="s">
        <v>240</v>
      </c>
    </row>
    <row r="538" spans="1:11" s="5" customFormat="1" hidden="1" x14ac:dyDescent="0.25">
      <c r="A538" s="1">
        <f t="shared" si="34"/>
        <v>21</v>
      </c>
      <c r="B538" s="5">
        <v>15</v>
      </c>
      <c r="C538" s="5" t="str">
        <f t="shared" si="33"/>
        <v>0x15</v>
      </c>
      <c r="D538" s="5" t="s">
        <v>388</v>
      </c>
      <c r="E538" s="5" t="s">
        <v>342</v>
      </c>
      <c r="F538" s="5" t="str">
        <f t="shared" si="35"/>
        <v>DIVG_S</v>
      </c>
      <c r="G538" s="6" t="s">
        <v>466</v>
      </c>
      <c r="H538" s="7" t="str">
        <f t="shared" si="36"/>
        <v>0x04A3</v>
      </c>
      <c r="I538" s="7"/>
      <c r="J538" s="5" t="s">
        <v>317</v>
      </c>
      <c r="K538" s="5" t="s">
        <v>240</v>
      </c>
    </row>
    <row r="539" spans="1:11" s="5" customFormat="1" hidden="1" x14ac:dyDescent="0.25">
      <c r="A539" s="1">
        <f t="shared" si="34"/>
        <v>21</v>
      </c>
      <c r="B539" s="5">
        <v>15</v>
      </c>
      <c r="C539" s="5" t="str">
        <f t="shared" si="33"/>
        <v>0x15</v>
      </c>
      <c r="D539" s="5" t="s">
        <v>409</v>
      </c>
      <c r="E539" s="5" t="s">
        <v>396</v>
      </c>
      <c r="F539" s="5" t="str">
        <f t="shared" si="35"/>
        <v>CMPGEQ_C</v>
      </c>
      <c r="G539" s="6" t="s">
        <v>467</v>
      </c>
      <c r="H539" s="7" t="str">
        <f t="shared" si="36"/>
        <v>0x04A5</v>
      </c>
      <c r="I539" s="7"/>
      <c r="J539" s="5" t="s">
        <v>317</v>
      </c>
      <c r="K539" s="5" t="s">
        <v>240</v>
      </c>
    </row>
    <row r="540" spans="1:11" s="5" customFormat="1" hidden="1" x14ac:dyDescent="0.25">
      <c r="A540" s="1">
        <f t="shared" si="34"/>
        <v>21</v>
      </c>
      <c r="B540" s="5">
        <v>15</v>
      </c>
      <c r="C540" s="5" t="str">
        <f t="shared" ref="C540:C601" si="37">"0x"&amp;TEXT(DEC2HEX(A540),"00")</f>
        <v>0x15</v>
      </c>
      <c r="D540" s="5" t="s">
        <v>411</v>
      </c>
      <c r="E540" s="5" t="s">
        <v>342</v>
      </c>
      <c r="F540" s="5" t="str">
        <f t="shared" si="35"/>
        <v>CMPGLT_S</v>
      </c>
      <c r="G540" s="6" t="s">
        <v>468</v>
      </c>
      <c r="H540" s="7" t="str">
        <f t="shared" si="36"/>
        <v>0x04A6</v>
      </c>
      <c r="I540" s="7"/>
      <c r="J540" s="5" t="s">
        <v>317</v>
      </c>
      <c r="K540" s="5" t="s">
        <v>240</v>
      </c>
    </row>
    <row r="541" spans="1:11" s="5" customFormat="1" hidden="1" x14ac:dyDescent="0.25">
      <c r="A541" s="1">
        <f t="shared" si="34"/>
        <v>21</v>
      </c>
      <c r="B541" s="5">
        <v>15</v>
      </c>
      <c r="C541" s="5" t="str">
        <f t="shared" si="37"/>
        <v>0x15</v>
      </c>
      <c r="D541" s="5" t="s">
        <v>413</v>
      </c>
      <c r="E541" s="5" t="s">
        <v>396</v>
      </c>
      <c r="F541" s="5" t="str">
        <f t="shared" si="35"/>
        <v>CMPGLE_C</v>
      </c>
      <c r="G541" s="6" t="s">
        <v>469</v>
      </c>
      <c r="H541" s="7" t="str">
        <f t="shared" si="36"/>
        <v>0x04A7</v>
      </c>
      <c r="I541" s="7"/>
      <c r="J541" s="5" t="s">
        <v>317</v>
      </c>
      <c r="K541" s="5" t="s">
        <v>240</v>
      </c>
    </row>
    <row r="542" spans="1:11" hidden="1" x14ac:dyDescent="0.25">
      <c r="A542" s="1">
        <f t="shared" si="34"/>
        <v>21</v>
      </c>
      <c r="B542">
        <v>15</v>
      </c>
      <c r="C542" t="str">
        <f t="shared" si="37"/>
        <v>0x15</v>
      </c>
      <c r="D542" t="s">
        <v>390</v>
      </c>
      <c r="E542" t="s">
        <v>457</v>
      </c>
      <c r="F542" t="str">
        <f t="shared" si="35"/>
        <v>CVTGF_IS</v>
      </c>
      <c r="G542" s="2" t="s">
        <v>470</v>
      </c>
      <c r="H542" s="3" t="str">
        <f t="shared" si="36"/>
        <v>0x04AC</v>
      </c>
      <c r="J542" t="s">
        <v>317</v>
      </c>
      <c r="K542" t="s">
        <v>240</v>
      </c>
    </row>
    <row r="543" spans="1:11" hidden="1" x14ac:dyDescent="0.25">
      <c r="A543" s="1">
        <f t="shared" si="34"/>
        <v>21</v>
      </c>
      <c r="B543">
        <v>15</v>
      </c>
      <c r="C543" t="str">
        <f t="shared" si="37"/>
        <v>0x15</v>
      </c>
      <c r="D543" t="s">
        <v>392</v>
      </c>
      <c r="E543" t="s">
        <v>457</v>
      </c>
      <c r="F543" t="str">
        <f t="shared" si="35"/>
        <v>CVTGD_IS</v>
      </c>
      <c r="G543" s="2" t="s">
        <v>471</v>
      </c>
      <c r="H543" s="3" t="str">
        <f t="shared" si="36"/>
        <v>0x04AD</v>
      </c>
      <c r="J543" t="s">
        <v>317</v>
      </c>
      <c r="K543" t="s">
        <v>240</v>
      </c>
    </row>
    <row r="544" spans="1:11" hidden="1" x14ac:dyDescent="0.25">
      <c r="A544" s="1">
        <f t="shared" si="34"/>
        <v>21</v>
      </c>
      <c r="B544">
        <v>15</v>
      </c>
      <c r="C544" t="str">
        <f t="shared" si="37"/>
        <v>0x15</v>
      </c>
      <c r="D544" t="s">
        <v>315</v>
      </c>
      <c r="E544" t="s">
        <v>457</v>
      </c>
      <c r="F544" t="str">
        <f t="shared" si="35"/>
        <v>CVTGQ_IS</v>
      </c>
      <c r="G544" s="2" t="s">
        <v>472</v>
      </c>
      <c r="H544" s="3" t="str">
        <f t="shared" si="36"/>
        <v>0x04AF</v>
      </c>
      <c r="J544" t="s">
        <v>317</v>
      </c>
      <c r="K544" t="s">
        <v>240</v>
      </c>
    </row>
    <row r="545" spans="1:11" s="5" customFormat="1" hidden="1" x14ac:dyDescent="0.25">
      <c r="A545" s="1">
        <f t="shared" si="34"/>
        <v>16</v>
      </c>
      <c r="B545" s="5">
        <v>10</v>
      </c>
      <c r="C545" s="5" t="str">
        <f t="shared" si="37"/>
        <v>0x10</v>
      </c>
      <c r="D545" s="5" t="s">
        <v>245</v>
      </c>
      <c r="E545" s="5" t="s">
        <v>217</v>
      </c>
      <c r="F545" s="5" t="str">
        <f t="shared" si="35"/>
        <v>CMPLT</v>
      </c>
      <c r="G545" s="6" t="s">
        <v>246</v>
      </c>
      <c r="H545" s="7" t="str">
        <f t="shared" si="36"/>
        <v>0x004D</v>
      </c>
      <c r="I545" s="7"/>
      <c r="J545" s="5" t="s">
        <v>14</v>
      </c>
      <c r="K545" s="5" t="s">
        <v>240</v>
      </c>
    </row>
    <row r="546" spans="1:11" hidden="1" x14ac:dyDescent="0.25">
      <c r="A546" s="1">
        <f t="shared" si="34"/>
        <v>21</v>
      </c>
      <c r="B546">
        <v>15</v>
      </c>
      <c r="C546" t="str">
        <f t="shared" si="37"/>
        <v>0x15</v>
      </c>
      <c r="D546" t="s">
        <v>373</v>
      </c>
      <c r="E546" t="s">
        <v>345</v>
      </c>
      <c r="F546" t="str">
        <f t="shared" si="35"/>
        <v>ADDF_SUC</v>
      </c>
      <c r="G546" s="2" t="s">
        <v>473</v>
      </c>
      <c r="H546" s="3" t="str">
        <f t="shared" si="36"/>
        <v>0x0500</v>
      </c>
      <c r="J546" t="s">
        <v>317</v>
      </c>
      <c r="K546" t="s">
        <v>240</v>
      </c>
    </row>
    <row r="547" spans="1:11" x14ac:dyDescent="0.25">
      <c r="A547" s="1">
        <f t="shared" si="34"/>
        <v>21</v>
      </c>
      <c r="B547">
        <v>15</v>
      </c>
      <c r="C547" t="str">
        <f t="shared" si="37"/>
        <v>0x15</v>
      </c>
      <c r="D547" t="s">
        <v>374</v>
      </c>
      <c r="E547" t="s">
        <v>345</v>
      </c>
      <c r="F547" t="str">
        <f t="shared" si="35"/>
        <v>SUBF_SUC</v>
      </c>
      <c r="G547" s="2" t="s">
        <v>474</v>
      </c>
      <c r="H547" s="3" t="str">
        <f t="shared" si="36"/>
        <v>0x0501</v>
      </c>
      <c r="J547" t="s">
        <v>317</v>
      </c>
      <c r="K547" t="s">
        <v>240</v>
      </c>
    </row>
    <row r="548" spans="1:11" hidden="1" x14ac:dyDescent="0.25">
      <c r="A548" s="1">
        <f t="shared" si="34"/>
        <v>21</v>
      </c>
      <c r="B548">
        <v>15</v>
      </c>
      <c r="C548" t="str">
        <f t="shared" si="37"/>
        <v>0x15</v>
      </c>
      <c r="D548" t="s">
        <v>375</v>
      </c>
      <c r="E548" t="s">
        <v>345</v>
      </c>
      <c r="F548" t="str">
        <f t="shared" si="35"/>
        <v>MULF_SUC</v>
      </c>
      <c r="G548" s="2" t="s">
        <v>475</v>
      </c>
      <c r="H548" s="3" t="str">
        <f t="shared" si="36"/>
        <v>0x0502</v>
      </c>
      <c r="J548" t="s">
        <v>317</v>
      </c>
      <c r="K548" t="s">
        <v>240</v>
      </c>
    </row>
    <row r="549" spans="1:11" s="5" customFormat="1" hidden="1" x14ac:dyDescent="0.25">
      <c r="A549" s="1">
        <f t="shared" si="34"/>
        <v>21</v>
      </c>
      <c r="B549" s="5">
        <v>15</v>
      </c>
      <c r="C549" s="5" t="str">
        <f t="shared" si="37"/>
        <v>0x15</v>
      </c>
      <c r="D549" s="5" t="s">
        <v>376</v>
      </c>
      <c r="E549" s="5" t="s">
        <v>345</v>
      </c>
      <c r="F549" s="5" t="str">
        <f t="shared" si="35"/>
        <v>DIVF_SUC</v>
      </c>
      <c r="G549" s="6" t="s">
        <v>476</v>
      </c>
      <c r="H549" s="7" t="str">
        <f t="shared" si="36"/>
        <v>0x0503</v>
      </c>
      <c r="I549" s="7"/>
      <c r="J549" s="5" t="s">
        <v>317</v>
      </c>
      <c r="K549" s="5" t="s">
        <v>240</v>
      </c>
    </row>
    <row r="550" spans="1:11" hidden="1" x14ac:dyDescent="0.25">
      <c r="A550" s="1">
        <f t="shared" si="34"/>
        <v>21</v>
      </c>
      <c r="B550">
        <v>15</v>
      </c>
      <c r="C550" t="str">
        <f t="shared" si="37"/>
        <v>0x15</v>
      </c>
      <c r="D550" t="s">
        <v>380</v>
      </c>
      <c r="E550" t="s">
        <v>345</v>
      </c>
      <c r="F550" t="str">
        <f t="shared" si="35"/>
        <v>CVTDG_SUC</v>
      </c>
      <c r="G550" s="2" t="s">
        <v>477</v>
      </c>
      <c r="H550" s="3" t="str">
        <f t="shared" si="36"/>
        <v>0x051E</v>
      </c>
      <c r="J550" t="s">
        <v>317</v>
      </c>
      <c r="K550" t="s">
        <v>240</v>
      </c>
    </row>
    <row r="551" spans="1:11" hidden="1" x14ac:dyDescent="0.25">
      <c r="A551" s="1">
        <f t="shared" si="34"/>
        <v>21</v>
      </c>
      <c r="B551">
        <v>15</v>
      </c>
      <c r="C551" t="str">
        <f t="shared" si="37"/>
        <v>0x15</v>
      </c>
      <c r="D551" t="s">
        <v>382</v>
      </c>
      <c r="E551" t="s">
        <v>345</v>
      </c>
      <c r="F551" t="str">
        <f t="shared" si="35"/>
        <v>ADDG_SUC</v>
      </c>
      <c r="G551" s="2" t="s">
        <v>478</v>
      </c>
      <c r="H551" s="3" t="str">
        <f t="shared" si="36"/>
        <v>0x0520</v>
      </c>
      <c r="J551" t="s">
        <v>317</v>
      </c>
      <c r="K551" t="s">
        <v>240</v>
      </c>
    </row>
    <row r="552" spans="1:11" hidden="1" x14ac:dyDescent="0.25">
      <c r="A552" s="1">
        <f t="shared" si="34"/>
        <v>21</v>
      </c>
      <c r="B552">
        <v>15</v>
      </c>
      <c r="C552" t="str">
        <f t="shared" si="37"/>
        <v>0x15</v>
      </c>
      <c r="D552" t="s">
        <v>384</v>
      </c>
      <c r="E552" t="s">
        <v>345</v>
      </c>
      <c r="F552" t="str">
        <f t="shared" si="35"/>
        <v>SUBG_SUC</v>
      </c>
      <c r="G552" s="2" t="s">
        <v>479</v>
      </c>
      <c r="H552" s="3" t="str">
        <f t="shared" si="36"/>
        <v>0x0521</v>
      </c>
      <c r="J552" t="s">
        <v>317</v>
      </c>
      <c r="K552" t="s">
        <v>240</v>
      </c>
    </row>
    <row r="553" spans="1:11" hidden="1" x14ac:dyDescent="0.25">
      <c r="A553" s="1">
        <f t="shared" si="34"/>
        <v>21</v>
      </c>
      <c r="B553">
        <v>15</v>
      </c>
      <c r="C553" t="str">
        <f t="shared" si="37"/>
        <v>0x15</v>
      </c>
      <c r="D553" t="s">
        <v>386</v>
      </c>
      <c r="E553" t="s">
        <v>345</v>
      </c>
      <c r="F553" t="str">
        <f t="shared" si="35"/>
        <v>MULG_SUC</v>
      </c>
      <c r="G553" s="2" t="s">
        <v>480</v>
      </c>
      <c r="H553" s="3" t="str">
        <f t="shared" si="36"/>
        <v>0x0522</v>
      </c>
      <c r="J553" t="s">
        <v>317</v>
      </c>
      <c r="K553" t="s">
        <v>240</v>
      </c>
    </row>
    <row r="554" spans="1:11" s="5" customFormat="1" hidden="1" x14ac:dyDescent="0.25">
      <c r="A554" s="1">
        <f t="shared" si="34"/>
        <v>21</v>
      </c>
      <c r="B554" s="5">
        <v>15</v>
      </c>
      <c r="C554" s="5" t="str">
        <f t="shared" si="37"/>
        <v>0x15</v>
      </c>
      <c r="D554" s="5" t="s">
        <v>388</v>
      </c>
      <c r="E554" s="5" t="s">
        <v>345</v>
      </c>
      <c r="F554" s="5" t="str">
        <f t="shared" si="35"/>
        <v>DIVG_SUC</v>
      </c>
      <c r="G554" s="6" t="s">
        <v>481</v>
      </c>
      <c r="H554" s="7" t="str">
        <f t="shared" si="36"/>
        <v>0x0523</v>
      </c>
      <c r="I554" s="7"/>
      <c r="J554" s="5" t="s">
        <v>317</v>
      </c>
      <c r="K554" s="5" t="s">
        <v>240</v>
      </c>
    </row>
    <row r="555" spans="1:11" hidden="1" x14ac:dyDescent="0.25">
      <c r="A555" s="1">
        <f t="shared" si="34"/>
        <v>21</v>
      </c>
      <c r="B555">
        <v>15</v>
      </c>
      <c r="C555" t="str">
        <f t="shared" si="37"/>
        <v>0x15</v>
      </c>
      <c r="D555" t="s">
        <v>390</v>
      </c>
      <c r="E555" t="s">
        <v>345</v>
      </c>
      <c r="F555" t="str">
        <f t="shared" si="35"/>
        <v>CVTGF_SUC</v>
      </c>
      <c r="G555" s="2" t="s">
        <v>482</v>
      </c>
      <c r="H555" s="3" t="str">
        <f t="shared" si="36"/>
        <v>0x052C</v>
      </c>
      <c r="J555" t="s">
        <v>317</v>
      </c>
      <c r="K555" t="s">
        <v>240</v>
      </c>
    </row>
    <row r="556" spans="1:11" hidden="1" x14ac:dyDescent="0.25">
      <c r="A556" s="1">
        <f t="shared" si="34"/>
        <v>21</v>
      </c>
      <c r="B556">
        <v>15</v>
      </c>
      <c r="C556" t="str">
        <f t="shared" si="37"/>
        <v>0x15</v>
      </c>
      <c r="D556" t="s">
        <v>392</v>
      </c>
      <c r="E556" t="s">
        <v>345</v>
      </c>
      <c r="F556" t="str">
        <f t="shared" si="35"/>
        <v>CVTGD_SUC</v>
      </c>
      <c r="G556" s="2" t="s">
        <v>483</v>
      </c>
      <c r="H556" s="3" t="str">
        <f t="shared" si="36"/>
        <v>0x052D</v>
      </c>
      <c r="J556" t="s">
        <v>317</v>
      </c>
      <c r="K556" t="s">
        <v>240</v>
      </c>
    </row>
    <row r="557" spans="1:11" hidden="1" x14ac:dyDescent="0.25">
      <c r="A557" s="1">
        <f t="shared" si="34"/>
        <v>21</v>
      </c>
      <c r="B557">
        <v>15</v>
      </c>
      <c r="C557" t="str">
        <f t="shared" si="37"/>
        <v>0x15</v>
      </c>
      <c r="D557" t="s">
        <v>315</v>
      </c>
      <c r="E557" t="s">
        <v>484</v>
      </c>
      <c r="F557" t="str">
        <f t="shared" si="35"/>
        <v>CVTGQ_SVC</v>
      </c>
      <c r="G557" s="2" t="s">
        <v>485</v>
      </c>
      <c r="H557" s="3" t="str">
        <f t="shared" si="36"/>
        <v>0x052F</v>
      </c>
      <c r="J557" t="s">
        <v>317</v>
      </c>
      <c r="K557" t="s">
        <v>240</v>
      </c>
    </row>
    <row r="558" spans="1:11" hidden="1" x14ac:dyDescent="0.25">
      <c r="A558" s="1">
        <f t="shared" si="34"/>
        <v>32</v>
      </c>
      <c r="B558">
        <v>20</v>
      </c>
      <c r="C558" t="str">
        <f t="shared" si="37"/>
        <v>0x20</v>
      </c>
      <c r="D558" t="s">
        <v>395</v>
      </c>
      <c r="E558" t="s">
        <v>484</v>
      </c>
      <c r="F558" t="str">
        <f t="shared" si="35"/>
        <v>CVTBQ_SVC</v>
      </c>
      <c r="G558" s="2" t="s">
        <v>485</v>
      </c>
      <c r="H558" s="3" t="str">
        <f t="shared" si="36"/>
        <v>0x052F</v>
      </c>
      <c r="J558" t="s">
        <v>317</v>
      </c>
      <c r="K558" t="s">
        <v>240</v>
      </c>
    </row>
    <row r="559" spans="1:11" hidden="1" x14ac:dyDescent="0.25">
      <c r="A559" s="1">
        <f t="shared" si="34"/>
        <v>21</v>
      </c>
      <c r="B559">
        <v>15</v>
      </c>
      <c r="C559" t="str">
        <f t="shared" si="37"/>
        <v>0x15</v>
      </c>
      <c r="D559" t="s">
        <v>373</v>
      </c>
      <c r="E559" t="s">
        <v>353</v>
      </c>
      <c r="F559" t="str">
        <f t="shared" si="35"/>
        <v>ADDF_SU</v>
      </c>
      <c r="G559" s="2" t="s">
        <v>486</v>
      </c>
      <c r="H559" s="3" t="str">
        <f t="shared" si="36"/>
        <v>0x0580</v>
      </c>
      <c r="J559" t="s">
        <v>317</v>
      </c>
      <c r="K559" t="s">
        <v>240</v>
      </c>
    </row>
    <row r="560" spans="1:11" x14ac:dyDescent="0.25">
      <c r="A560" s="1">
        <f t="shared" si="34"/>
        <v>21</v>
      </c>
      <c r="B560">
        <v>15</v>
      </c>
      <c r="C560" t="str">
        <f t="shared" si="37"/>
        <v>0x15</v>
      </c>
      <c r="D560" t="s">
        <v>374</v>
      </c>
      <c r="E560" t="s">
        <v>353</v>
      </c>
      <c r="F560" t="str">
        <f t="shared" si="35"/>
        <v>SUBF_SU</v>
      </c>
      <c r="G560" s="2" t="s">
        <v>487</v>
      </c>
      <c r="H560" s="3" t="str">
        <f t="shared" si="36"/>
        <v>0x0581</v>
      </c>
      <c r="J560" t="s">
        <v>317</v>
      </c>
      <c r="K560" t="s">
        <v>240</v>
      </c>
    </row>
    <row r="561" spans="1:11" hidden="1" x14ac:dyDescent="0.25">
      <c r="A561" s="1">
        <f t="shared" si="34"/>
        <v>21</v>
      </c>
      <c r="B561">
        <v>15</v>
      </c>
      <c r="C561" t="str">
        <f t="shared" si="37"/>
        <v>0x15</v>
      </c>
      <c r="D561" t="s">
        <v>375</v>
      </c>
      <c r="E561" t="s">
        <v>353</v>
      </c>
      <c r="F561" t="str">
        <f t="shared" si="35"/>
        <v>MULF_SU</v>
      </c>
      <c r="G561" s="2" t="s">
        <v>488</v>
      </c>
      <c r="H561" s="3" t="str">
        <f t="shared" si="36"/>
        <v>0x0582</v>
      </c>
      <c r="J561" t="s">
        <v>317</v>
      </c>
      <c r="K561" t="s">
        <v>240</v>
      </c>
    </row>
    <row r="562" spans="1:11" s="5" customFormat="1" hidden="1" x14ac:dyDescent="0.25">
      <c r="A562" s="1">
        <f t="shared" si="34"/>
        <v>21</v>
      </c>
      <c r="B562" s="5">
        <v>15</v>
      </c>
      <c r="C562" s="5" t="str">
        <f t="shared" si="37"/>
        <v>0x15</v>
      </c>
      <c r="D562" s="5" t="s">
        <v>376</v>
      </c>
      <c r="E562" s="5" t="s">
        <v>353</v>
      </c>
      <c r="F562" s="5" t="str">
        <f t="shared" si="35"/>
        <v>DIVF_SU</v>
      </c>
      <c r="G562" s="6" t="s">
        <v>489</v>
      </c>
      <c r="H562" s="7" t="str">
        <f t="shared" si="36"/>
        <v>0x0583</v>
      </c>
      <c r="I562" s="7"/>
      <c r="J562" s="5" t="s">
        <v>317</v>
      </c>
      <c r="K562" s="5" t="s">
        <v>240</v>
      </c>
    </row>
    <row r="563" spans="1:11" hidden="1" x14ac:dyDescent="0.25">
      <c r="A563" s="1">
        <f t="shared" si="34"/>
        <v>21</v>
      </c>
      <c r="B563">
        <v>15</v>
      </c>
      <c r="C563" t="str">
        <f t="shared" si="37"/>
        <v>0x15</v>
      </c>
      <c r="D563" t="s">
        <v>380</v>
      </c>
      <c r="E563" t="s">
        <v>353</v>
      </c>
      <c r="F563" t="str">
        <f t="shared" si="35"/>
        <v>CVTDG_SU</v>
      </c>
      <c r="G563" s="2" t="s">
        <v>490</v>
      </c>
      <c r="H563" s="3" t="str">
        <f t="shared" si="36"/>
        <v>0x059E</v>
      </c>
      <c r="J563" t="s">
        <v>317</v>
      </c>
      <c r="K563" t="s">
        <v>240</v>
      </c>
    </row>
    <row r="564" spans="1:11" hidden="1" x14ac:dyDescent="0.25">
      <c r="A564" s="1">
        <f t="shared" si="34"/>
        <v>18</v>
      </c>
      <c r="B564">
        <v>12</v>
      </c>
      <c r="C564" t="str">
        <f t="shared" si="37"/>
        <v>0x12</v>
      </c>
      <c r="D564" t="s">
        <v>304</v>
      </c>
      <c r="E564" t="s">
        <v>217</v>
      </c>
      <c r="F564" t="str">
        <f t="shared" si="35"/>
        <v>EXTWH</v>
      </c>
      <c r="G564" s="2" t="s">
        <v>305</v>
      </c>
      <c r="H564" s="3" t="str">
        <f t="shared" si="36"/>
        <v>0x005A</v>
      </c>
      <c r="J564" t="s">
        <v>14</v>
      </c>
      <c r="K564" t="s">
        <v>236</v>
      </c>
    </row>
    <row r="565" spans="1:11" hidden="1" x14ac:dyDescent="0.25">
      <c r="A565" s="1">
        <f t="shared" si="34"/>
        <v>21</v>
      </c>
      <c r="B565">
        <v>15</v>
      </c>
      <c r="C565" t="str">
        <f t="shared" si="37"/>
        <v>0x15</v>
      </c>
      <c r="D565" t="s">
        <v>382</v>
      </c>
      <c r="E565" t="s">
        <v>353</v>
      </c>
      <c r="F565" t="str">
        <f t="shared" si="35"/>
        <v>ADDG_SU</v>
      </c>
      <c r="G565" s="2" t="s">
        <v>491</v>
      </c>
      <c r="H565" s="3" t="str">
        <f t="shared" si="36"/>
        <v>0x05A0</v>
      </c>
      <c r="J565" t="s">
        <v>317</v>
      </c>
      <c r="K565" t="s">
        <v>240</v>
      </c>
    </row>
    <row r="566" spans="1:11" hidden="1" x14ac:dyDescent="0.25">
      <c r="A566" s="1">
        <f t="shared" si="34"/>
        <v>21</v>
      </c>
      <c r="B566">
        <v>15</v>
      </c>
      <c r="C566" t="str">
        <f t="shared" si="37"/>
        <v>0x15</v>
      </c>
      <c r="D566" t="s">
        <v>384</v>
      </c>
      <c r="E566" t="s">
        <v>353</v>
      </c>
      <c r="F566" t="str">
        <f t="shared" si="35"/>
        <v>SUBG_SU</v>
      </c>
      <c r="G566" s="2" t="s">
        <v>492</v>
      </c>
      <c r="H566" s="3" t="str">
        <f t="shared" si="36"/>
        <v>0x05A1</v>
      </c>
      <c r="J566" t="s">
        <v>317</v>
      </c>
      <c r="K566" t="s">
        <v>240</v>
      </c>
    </row>
    <row r="567" spans="1:11" hidden="1" x14ac:dyDescent="0.25">
      <c r="A567" s="1">
        <f t="shared" si="34"/>
        <v>21</v>
      </c>
      <c r="B567">
        <v>15</v>
      </c>
      <c r="C567" t="str">
        <f t="shared" si="37"/>
        <v>0x15</v>
      </c>
      <c r="D567" t="s">
        <v>386</v>
      </c>
      <c r="E567" t="s">
        <v>353</v>
      </c>
      <c r="F567" t="str">
        <f t="shared" si="35"/>
        <v>MULG_SU</v>
      </c>
      <c r="G567" s="2" t="s">
        <v>493</v>
      </c>
      <c r="H567" s="3" t="str">
        <f t="shared" si="36"/>
        <v>0x05A2</v>
      </c>
      <c r="J567" t="s">
        <v>317</v>
      </c>
      <c r="K567" t="s">
        <v>240</v>
      </c>
    </row>
    <row r="568" spans="1:11" s="5" customFormat="1" hidden="1" x14ac:dyDescent="0.25">
      <c r="A568" s="1">
        <f t="shared" si="34"/>
        <v>21</v>
      </c>
      <c r="B568" s="5">
        <v>15</v>
      </c>
      <c r="C568" s="5" t="str">
        <f t="shared" si="37"/>
        <v>0x15</v>
      </c>
      <c r="D568" s="5" t="s">
        <v>388</v>
      </c>
      <c r="E568" s="5" t="s">
        <v>353</v>
      </c>
      <c r="F568" s="5" t="str">
        <f t="shared" si="35"/>
        <v>DIVG_SU</v>
      </c>
      <c r="G568" s="6" t="s">
        <v>494</v>
      </c>
      <c r="H568" s="7" t="str">
        <f t="shared" si="36"/>
        <v>0x05A3</v>
      </c>
      <c r="I568" s="7"/>
      <c r="J568" s="5" t="s">
        <v>317</v>
      </c>
      <c r="K568" s="5" t="s">
        <v>240</v>
      </c>
    </row>
    <row r="569" spans="1:11" hidden="1" x14ac:dyDescent="0.25">
      <c r="A569" s="1">
        <f t="shared" si="34"/>
        <v>21</v>
      </c>
      <c r="B569">
        <v>15</v>
      </c>
      <c r="C569" t="str">
        <f t="shared" si="37"/>
        <v>0x15</v>
      </c>
      <c r="D569" t="s">
        <v>390</v>
      </c>
      <c r="E569" t="s">
        <v>353</v>
      </c>
      <c r="F569" t="str">
        <f t="shared" si="35"/>
        <v>CVTGF_SU</v>
      </c>
      <c r="G569" s="2" t="s">
        <v>495</v>
      </c>
      <c r="H569" s="3" t="str">
        <f t="shared" si="36"/>
        <v>0x05AC</v>
      </c>
      <c r="J569" t="s">
        <v>317</v>
      </c>
      <c r="K569" t="s">
        <v>240</v>
      </c>
    </row>
    <row r="570" spans="1:11" hidden="1" x14ac:dyDescent="0.25">
      <c r="A570" s="1">
        <f t="shared" si="34"/>
        <v>21</v>
      </c>
      <c r="B570">
        <v>15</v>
      </c>
      <c r="C570" t="str">
        <f t="shared" si="37"/>
        <v>0x15</v>
      </c>
      <c r="D570" t="s">
        <v>392</v>
      </c>
      <c r="E570" t="s">
        <v>353</v>
      </c>
      <c r="F570" t="str">
        <f t="shared" si="35"/>
        <v>CVTGD_SU</v>
      </c>
      <c r="G570" s="2" t="s">
        <v>496</v>
      </c>
      <c r="H570" s="3" t="str">
        <f t="shared" si="36"/>
        <v>0x05AD</v>
      </c>
      <c r="J570" t="s">
        <v>317</v>
      </c>
      <c r="K570" t="s">
        <v>240</v>
      </c>
    </row>
    <row r="571" spans="1:11" hidden="1" x14ac:dyDescent="0.25">
      <c r="A571" s="1">
        <f t="shared" si="34"/>
        <v>21</v>
      </c>
      <c r="B571">
        <v>15</v>
      </c>
      <c r="C571" t="str">
        <f t="shared" si="37"/>
        <v>0x15</v>
      </c>
      <c r="D571" t="s">
        <v>315</v>
      </c>
      <c r="E571" t="s">
        <v>497</v>
      </c>
      <c r="F571" t="str">
        <f t="shared" si="35"/>
        <v>CVTGQ_SV</v>
      </c>
      <c r="G571" s="2" t="s">
        <v>498</v>
      </c>
      <c r="H571" s="3" t="str">
        <f t="shared" si="36"/>
        <v>0x05AF</v>
      </c>
      <c r="J571" t="s">
        <v>317</v>
      </c>
      <c r="K571" t="s">
        <v>240</v>
      </c>
    </row>
    <row r="572" spans="1:11" hidden="1" x14ac:dyDescent="0.25">
      <c r="A572" s="1">
        <f t="shared" si="34"/>
        <v>18</v>
      </c>
      <c r="B572">
        <v>12</v>
      </c>
      <c r="C572" t="str">
        <f t="shared" si="37"/>
        <v>0x12</v>
      </c>
      <c r="D572" t="s">
        <v>306</v>
      </c>
      <c r="E572" t="s">
        <v>217</v>
      </c>
      <c r="F572" t="str">
        <f t="shared" si="35"/>
        <v>EXTLH</v>
      </c>
      <c r="G572" s="2" t="s">
        <v>307</v>
      </c>
      <c r="H572" s="3" t="str">
        <f t="shared" si="36"/>
        <v>0x006A</v>
      </c>
      <c r="J572" t="s">
        <v>14</v>
      </c>
      <c r="K572" t="s">
        <v>236</v>
      </c>
    </row>
    <row r="573" spans="1:11" s="5" customFormat="1" hidden="1" x14ac:dyDescent="0.25">
      <c r="A573" s="1">
        <f t="shared" si="34"/>
        <v>16</v>
      </c>
      <c r="B573" s="5">
        <v>10</v>
      </c>
      <c r="C573" s="5" t="str">
        <f t="shared" si="37"/>
        <v>0x10</v>
      </c>
      <c r="D573" s="5" t="s">
        <v>243</v>
      </c>
      <c r="E573" s="5" t="s">
        <v>217</v>
      </c>
      <c r="F573" s="5" t="str">
        <f t="shared" si="35"/>
        <v>CMPLE</v>
      </c>
      <c r="G573" s="6" t="s">
        <v>244</v>
      </c>
      <c r="H573" s="7" t="str">
        <f t="shared" si="36"/>
        <v>0x006D</v>
      </c>
      <c r="I573" s="7"/>
      <c r="J573" s="5" t="s">
        <v>14</v>
      </c>
      <c r="K573" s="5" t="s">
        <v>240</v>
      </c>
    </row>
    <row r="574" spans="1:11" hidden="1" x14ac:dyDescent="0.25">
      <c r="A574" s="1">
        <f t="shared" ref="A574:A628" si="38">HEX2DEC(B574)</f>
        <v>18</v>
      </c>
      <c r="B574">
        <v>12</v>
      </c>
      <c r="C574" t="str">
        <f t="shared" si="37"/>
        <v>0x12</v>
      </c>
      <c r="D574" t="s">
        <v>308</v>
      </c>
      <c r="E574" t="s">
        <v>217</v>
      </c>
      <c r="F574" t="str">
        <f t="shared" ref="F574:F630" si="39">IF(TRIM(E574)="",TRIM(D574),TRIM(D574)&amp;"_"&amp;TRIM(E574))</f>
        <v>EXTQH</v>
      </c>
      <c r="G574" s="2" t="s">
        <v>309</v>
      </c>
      <c r="H574" s="3" t="str">
        <f t="shared" si="36"/>
        <v>0x007A</v>
      </c>
      <c r="J574" t="s">
        <v>14</v>
      </c>
      <c r="K574" t="s">
        <v>236</v>
      </c>
    </row>
    <row r="575" spans="1:11" hidden="1" x14ac:dyDescent="0.25">
      <c r="A575" s="1">
        <f t="shared" si="38"/>
        <v>0</v>
      </c>
      <c r="B575">
        <v>0</v>
      </c>
      <c r="C575" t="str">
        <f t="shared" si="37"/>
        <v>0x00</v>
      </c>
      <c r="D575" t="s">
        <v>184</v>
      </c>
      <c r="F575" t="str">
        <f t="shared" si="39"/>
        <v>CALLKD</v>
      </c>
      <c r="G575" s="2" t="s">
        <v>214</v>
      </c>
      <c r="H575" s="3" t="str">
        <f t="shared" si="36"/>
        <v>0x0083</v>
      </c>
      <c r="J575" t="s">
        <v>14</v>
      </c>
      <c r="K575" t="s">
        <v>11</v>
      </c>
    </row>
    <row r="576" spans="1:11" hidden="1" x14ac:dyDescent="0.25">
      <c r="A576" s="1">
        <f t="shared" si="38"/>
        <v>0</v>
      </c>
      <c r="B576">
        <v>0</v>
      </c>
      <c r="C576" t="str">
        <f t="shared" si="37"/>
        <v>0x00</v>
      </c>
      <c r="D576" t="s">
        <v>182</v>
      </c>
      <c r="F576" t="str">
        <f t="shared" si="39"/>
        <v>KBPT</v>
      </c>
      <c r="G576" s="2" t="s">
        <v>215</v>
      </c>
      <c r="H576" s="3" t="str">
        <f t="shared" si="36"/>
        <v>0x00AB</v>
      </c>
      <c r="J576" t="s">
        <v>14</v>
      </c>
      <c r="K576" t="s">
        <v>11</v>
      </c>
    </row>
    <row r="577" spans="1:11" hidden="1" x14ac:dyDescent="0.25">
      <c r="A577" s="1">
        <f t="shared" si="38"/>
        <v>0</v>
      </c>
      <c r="B577">
        <v>0</v>
      </c>
      <c r="C577" t="str">
        <f t="shared" si="37"/>
        <v>0x00</v>
      </c>
      <c r="D577" t="s">
        <v>216</v>
      </c>
      <c r="E577" t="s">
        <v>217</v>
      </c>
      <c r="F577" t="str">
        <f t="shared" si="39"/>
        <v>CALL_PAL</v>
      </c>
      <c r="H577" s="3" t="str">
        <f t="shared" si="36"/>
        <v>0x0000</v>
      </c>
      <c r="J577" t="s">
        <v>14</v>
      </c>
      <c r="K577" t="s">
        <v>218</v>
      </c>
    </row>
    <row r="578" spans="1:11" hidden="1" x14ac:dyDescent="0.25">
      <c r="A578" s="1">
        <f t="shared" si="38"/>
        <v>0</v>
      </c>
    </row>
    <row r="579" spans="1:11" hidden="1" x14ac:dyDescent="0.25">
      <c r="A579" s="1">
        <f t="shared" si="38"/>
        <v>0</v>
      </c>
    </row>
    <row r="580" spans="1:11" hidden="1" x14ac:dyDescent="0.25">
      <c r="A580" s="1">
        <f t="shared" si="38"/>
        <v>0</v>
      </c>
      <c r="B580">
        <v>0</v>
      </c>
      <c r="C580" t="str">
        <f t="shared" si="37"/>
        <v>0x00</v>
      </c>
      <c r="D580" t="s">
        <v>219</v>
      </c>
      <c r="F580" t="str">
        <f t="shared" si="39"/>
        <v>SSW</v>
      </c>
      <c r="H580" s="3" t="str">
        <f t="shared" si="36"/>
        <v>0x0000</v>
      </c>
      <c r="J580" t="s">
        <v>14</v>
      </c>
      <c r="K580" t="s">
        <v>11</v>
      </c>
    </row>
    <row r="581" spans="1:11" hidden="1" x14ac:dyDescent="0.25">
      <c r="A581" s="1">
        <f t="shared" si="38"/>
        <v>1</v>
      </c>
      <c r="B581">
        <v>1</v>
      </c>
      <c r="C581" t="str">
        <f t="shared" si="37"/>
        <v>0x01</v>
      </c>
      <c r="D581" t="s">
        <v>220</v>
      </c>
      <c r="F581" t="str">
        <f t="shared" si="39"/>
        <v>OPC01</v>
      </c>
      <c r="H581" s="3" t="str">
        <f t="shared" si="36"/>
        <v>0x0000</v>
      </c>
      <c r="J581" t="s">
        <v>221</v>
      </c>
      <c r="K581" t="s">
        <v>222</v>
      </c>
    </row>
    <row r="582" spans="1:11" hidden="1" x14ac:dyDescent="0.25">
      <c r="A582" s="1">
        <f t="shared" si="38"/>
        <v>2</v>
      </c>
      <c r="B582">
        <v>2</v>
      </c>
      <c r="C582" t="str">
        <f t="shared" si="37"/>
        <v>0x02</v>
      </c>
      <c r="D582" t="s">
        <v>223</v>
      </c>
      <c r="F582" t="str">
        <f t="shared" si="39"/>
        <v>OPC02</v>
      </c>
      <c r="H582" s="3" t="str">
        <f t="shared" si="36"/>
        <v>0x0000</v>
      </c>
      <c r="J582" t="s">
        <v>221</v>
      </c>
      <c r="K582" t="s">
        <v>222</v>
      </c>
    </row>
    <row r="583" spans="1:11" hidden="1" x14ac:dyDescent="0.25">
      <c r="A583" s="1">
        <f t="shared" si="38"/>
        <v>3</v>
      </c>
      <c r="B583">
        <v>3</v>
      </c>
      <c r="C583" t="str">
        <f t="shared" si="37"/>
        <v>0x03</v>
      </c>
      <c r="D583" t="s">
        <v>224</v>
      </c>
      <c r="F583" t="str">
        <f t="shared" si="39"/>
        <v>OPC03</v>
      </c>
      <c r="H583" s="3" t="str">
        <f t="shared" si="36"/>
        <v>0x0000</v>
      </c>
      <c r="J583" t="s">
        <v>221</v>
      </c>
      <c r="K583" t="s">
        <v>222</v>
      </c>
    </row>
    <row r="584" spans="1:11" hidden="1" x14ac:dyDescent="0.25">
      <c r="A584" s="1">
        <f t="shared" si="38"/>
        <v>4</v>
      </c>
      <c r="B584">
        <v>4</v>
      </c>
      <c r="C584" t="str">
        <f t="shared" si="37"/>
        <v>0x04</v>
      </c>
      <c r="D584" t="s">
        <v>225</v>
      </c>
      <c r="F584" t="str">
        <f t="shared" si="39"/>
        <v>OPC04</v>
      </c>
      <c r="H584" s="3" t="str">
        <f t="shared" si="36"/>
        <v>0x0000</v>
      </c>
      <c r="J584" t="s">
        <v>221</v>
      </c>
      <c r="K584" t="s">
        <v>222</v>
      </c>
    </row>
    <row r="585" spans="1:11" hidden="1" x14ac:dyDescent="0.25">
      <c r="A585" s="1">
        <f t="shared" si="38"/>
        <v>5</v>
      </c>
      <c r="B585">
        <v>5</v>
      </c>
      <c r="C585" t="str">
        <f t="shared" si="37"/>
        <v>0x05</v>
      </c>
      <c r="D585" t="s">
        <v>226</v>
      </c>
      <c r="F585" t="str">
        <f t="shared" si="39"/>
        <v>OPC05</v>
      </c>
      <c r="H585" s="3" t="str">
        <f t="shared" si="36"/>
        <v>0x0000</v>
      </c>
      <c r="J585" t="s">
        <v>221</v>
      </c>
      <c r="K585" t="s">
        <v>222</v>
      </c>
    </row>
    <row r="586" spans="1:11" hidden="1" x14ac:dyDescent="0.25">
      <c r="A586" s="1">
        <f t="shared" si="38"/>
        <v>6</v>
      </c>
      <c r="B586">
        <v>6</v>
      </c>
      <c r="C586" t="str">
        <f t="shared" si="37"/>
        <v>0x06</v>
      </c>
      <c r="D586" t="s">
        <v>227</v>
      </c>
      <c r="F586" t="str">
        <f t="shared" si="39"/>
        <v>OPC06</v>
      </c>
      <c r="H586" s="3" t="str">
        <f t="shared" si="36"/>
        <v>0x0000</v>
      </c>
      <c r="J586" t="s">
        <v>221</v>
      </c>
      <c r="K586" t="s">
        <v>222</v>
      </c>
    </row>
    <row r="587" spans="1:11" hidden="1" x14ac:dyDescent="0.25">
      <c r="A587" s="1">
        <f t="shared" si="38"/>
        <v>7</v>
      </c>
      <c r="B587">
        <v>7</v>
      </c>
      <c r="C587" t="str">
        <f t="shared" si="37"/>
        <v>0x07</v>
      </c>
      <c r="D587" t="s">
        <v>228</v>
      </c>
      <c r="F587" t="str">
        <f t="shared" si="39"/>
        <v>OPC07</v>
      </c>
      <c r="H587" s="3" t="str">
        <f t="shared" si="36"/>
        <v>0x0000</v>
      </c>
      <c r="J587" t="s">
        <v>221</v>
      </c>
      <c r="K587" t="s">
        <v>222</v>
      </c>
    </row>
    <row r="588" spans="1:11" hidden="1" x14ac:dyDescent="0.25">
      <c r="A588" s="1">
        <f t="shared" si="38"/>
        <v>8</v>
      </c>
      <c r="B588">
        <v>8</v>
      </c>
      <c r="C588" t="str">
        <f t="shared" si="37"/>
        <v>0x08</v>
      </c>
      <c r="D588" t="s">
        <v>229</v>
      </c>
      <c r="E588" t="s">
        <v>217</v>
      </c>
      <c r="F588" t="str">
        <f t="shared" si="39"/>
        <v>LDA</v>
      </c>
      <c r="H588" s="3" t="str">
        <f t="shared" si="36"/>
        <v>0x0000</v>
      </c>
      <c r="J588" t="s">
        <v>14</v>
      </c>
      <c r="K588" t="s">
        <v>230</v>
      </c>
    </row>
    <row r="589" spans="1:11" hidden="1" x14ac:dyDescent="0.25">
      <c r="A589" s="1">
        <f t="shared" si="38"/>
        <v>9</v>
      </c>
      <c r="B589">
        <v>9</v>
      </c>
      <c r="C589" t="str">
        <f t="shared" si="37"/>
        <v>0x09</v>
      </c>
      <c r="D589" t="s">
        <v>231</v>
      </c>
      <c r="E589" t="s">
        <v>217</v>
      </c>
      <c r="F589" t="str">
        <f t="shared" si="39"/>
        <v>LDAH</v>
      </c>
      <c r="H589" s="3" t="str">
        <f t="shared" si="36"/>
        <v>0x0000</v>
      </c>
      <c r="J589" t="s">
        <v>14</v>
      </c>
      <c r="K589" t="s">
        <v>230</v>
      </c>
    </row>
    <row r="590" spans="1:11" s="5" customFormat="1" hidden="1" x14ac:dyDescent="0.25">
      <c r="A590" s="1">
        <f t="shared" si="38"/>
        <v>11</v>
      </c>
      <c r="B590" s="5" t="s">
        <v>232</v>
      </c>
      <c r="C590" s="5" t="str">
        <f t="shared" si="37"/>
        <v>0xB</v>
      </c>
      <c r="D590" s="5" t="s">
        <v>233</v>
      </c>
      <c r="E590" s="5" t="s">
        <v>217</v>
      </c>
      <c r="F590" s="5" t="str">
        <f t="shared" si="39"/>
        <v>LDQ_U</v>
      </c>
      <c r="G590" s="6"/>
      <c r="H590" s="7" t="str">
        <f t="shared" si="36"/>
        <v>0x0000</v>
      </c>
      <c r="I590" s="7"/>
      <c r="J590" s="5" t="s">
        <v>14</v>
      </c>
      <c r="K590" s="5" t="s">
        <v>230</v>
      </c>
    </row>
    <row r="591" spans="1:11" s="5" customFormat="1" hidden="1" x14ac:dyDescent="0.25">
      <c r="A591" s="1">
        <f t="shared" si="38"/>
        <v>15</v>
      </c>
      <c r="B591" s="5" t="s">
        <v>198</v>
      </c>
      <c r="C591" s="5" t="str">
        <f t="shared" si="37"/>
        <v>0xF</v>
      </c>
      <c r="D591" s="5" t="s">
        <v>234</v>
      </c>
      <c r="E591" s="5" t="s">
        <v>217</v>
      </c>
      <c r="F591" s="5" t="str">
        <f t="shared" si="39"/>
        <v>STQ_U</v>
      </c>
      <c r="G591" s="6"/>
      <c r="H591" s="7" t="str">
        <f t="shared" si="36"/>
        <v>0x0000</v>
      </c>
      <c r="I591" s="7"/>
      <c r="J591" s="5" t="s">
        <v>14</v>
      </c>
      <c r="K591" s="5" t="s">
        <v>230</v>
      </c>
    </row>
    <row r="592" spans="1:11" hidden="1" x14ac:dyDescent="0.25">
      <c r="A592" s="1">
        <f t="shared" si="38"/>
        <v>25</v>
      </c>
      <c r="B592">
        <v>19</v>
      </c>
      <c r="C592" t="str">
        <f t="shared" si="37"/>
        <v>0x19</v>
      </c>
      <c r="D592" t="s">
        <v>616</v>
      </c>
      <c r="F592" t="str">
        <f t="shared" si="39"/>
        <v>PAL19</v>
      </c>
      <c r="H592" s="3" t="str">
        <f t="shared" si="36"/>
        <v>0x0000</v>
      </c>
      <c r="J592" t="s">
        <v>221</v>
      </c>
      <c r="K592" t="s">
        <v>222</v>
      </c>
    </row>
    <row r="593" spans="1:11" hidden="1" x14ac:dyDescent="0.25">
      <c r="A593" s="1">
        <f t="shared" si="38"/>
        <v>27</v>
      </c>
      <c r="B593" t="s">
        <v>259</v>
      </c>
      <c r="C593" t="str">
        <f t="shared" si="37"/>
        <v>0x1B</v>
      </c>
      <c r="D593" t="s">
        <v>621</v>
      </c>
      <c r="F593" t="str">
        <f t="shared" si="39"/>
        <v>PAL1B</v>
      </c>
      <c r="H593" s="3" t="str">
        <f t="shared" si="36"/>
        <v>0x0000</v>
      </c>
      <c r="J593" t="s">
        <v>221</v>
      </c>
      <c r="K593" t="s">
        <v>222</v>
      </c>
    </row>
    <row r="594" spans="1:11" hidden="1" x14ac:dyDescent="0.25">
      <c r="A594" s="1">
        <f t="shared" si="38"/>
        <v>29</v>
      </c>
      <c r="B594" t="s">
        <v>250</v>
      </c>
      <c r="C594" t="str">
        <f t="shared" si="37"/>
        <v>0x1D</v>
      </c>
      <c r="D594" t="s">
        <v>622</v>
      </c>
      <c r="F594" t="str">
        <f t="shared" si="39"/>
        <v>PAL1D</v>
      </c>
      <c r="H594" s="3" t="str">
        <f t="shared" si="36"/>
        <v>0x0000</v>
      </c>
      <c r="J594" t="s">
        <v>221</v>
      </c>
      <c r="K594" t="s">
        <v>222</v>
      </c>
    </row>
    <row r="595" spans="1:11" hidden="1" x14ac:dyDescent="0.25">
      <c r="A595" s="1">
        <f t="shared" si="38"/>
        <v>30</v>
      </c>
      <c r="B595" t="s">
        <v>623</v>
      </c>
      <c r="C595" t="str">
        <f t="shared" si="37"/>
        <v>0x1E</v>
      </c>
      <c r="D595" t="s">
        <v>624</v>
      </c>
      <c r="F595" t="str">
        <f t="shared" si="39"/>
        <v>PAL1E</v>
      </c>
      <c r="H595" s="3" t="str">
        <f t="shared" si="36"/>
        <v>0x0000</v>
      </c>
      <c r="J595" t="s">
        <v>221</v>
      </c>
      <c r="K595" t="s">
        <v>222</v>
      </c>
    </row>
    <row r="596" spans="1:11" hidden="1" x14ac:dyDescent="0.25">
      <c r="A596" s="1">
        <f t="shared" si="38"/>
        <v>31</v>
      </c>
      <c r="B596" t="s">
        <v>625</v>
      </c>
      <c r="C596" t="str">
        <f t="shared" si="37"/>
        <v>0x1F</v>
      </c>
      <c r="D596" t="s">
        <v>626</v>
      </c>
      <c r="F596" t="str">
        <f t="shared" si="39"/>
        <v>PAL1F</v>
      </c>
      <c r="H596" s="3" t="str">
        <f t="shared" si="36"/>
        <v>0x0000</v>
      </c>
      <c r="J596" t="s">
        <v>221</v>
      </c>
      <c r="K596" t="s">
        <v>222</v>
      </c>
    </row>
    <row r="597" spans="1:11" s="5" customFormat="1" hidden="1" x14ac:dyDescent="0.25">
      <c r="A597" s="1">
        <f t="shared" si="38"/>
        <v>32</v>
      </c>
      <c r="B597" s="5">
        <v>20</v>
      </c>
      <c r="C597" s="5" t="str">
        <f t="shared" si="37"/>
        <v>0x20</v>
      </c>
      <c r="D597" s="5" t="s">
        <v>627</v>
      </c>
      <c r="E597" s="5" t="s">
        <v>217</v>
      </c>
      <c r="F597" s="5" t="str">
        <f t="shared" si="39"/>
        <v>LDF</v>
      </c>
      <c r="G597" s="6"/>
      <c r="H597" s="7" t="str">
        <f t="shared" ref="H597:H660" si="40">"0x"&amp;RIGHT("0000"&amp;UPPER(SUBSTITUTE(TRIM(G597),"0X","")),4)</f>
        <v>0x0000</v>
      </c>
      <c r="I597" s="7"/>
      <c r="J597" s="5" t="s">
        <v>14</v>
      </c>
      <c r="K597" s="5" t="s">
        <v>230</v>
      </c>
    </row>
    <row r="598" spans="1:11" s="5" customFormat="1" hidden="1" x14ac:dyDescent="0.25">
      <c r="A598" s="1">
        <f t="shared" si="38"/>
        <v>33</v>
      </c>
      <c r="B598" s="5">
        <v>21</v>
      </c>
      <c r="C598" s="5" t="str">
        <f t="shared" si="37"/>
        <v>0x21</v>
      </c>
      <c r="D598" s="5" t="s">
        <v>628</v>
      </c>
      <c r="E598" s="5" t="s">
        <v>217</v>
      </c>
      <c r="F598" s="5" t="str">
        <f t="shared" si="39"/>
        <v>LDG</v>
      </c>
      <c r="G598" s="6"/>
      <c r="H598" s="7" t="str">
        <f t="shared" si="40"/>
        <v>0x0000</v>
      </c>
      <c r="I598" s="7"/>
      <c r="J598" s="5" t="s">
        <v>14</v>
      </c>
      <c r="K598" s="5" t="s">
        <v>230</v>
      </c>
    </row>
    <row r="599" spans="1:11" s="5" customFormat="1" hidden="1" x14ac:dyDescent="0.25">
      <c r="A599" s="1">
        <f t="shared" si="38"/>
        <v>34</v>
      </c>
      <c r="B599" s="5">
        <v>22</v>
      </c>
      <c r="C599" s="5" t="str">
        <f t="shared" si="37"/>
        <v>0x22</v>
      </c>
      <c r="D599" s="5" t="s">
        <v>629</v>
      </c>
      <c r="E599" s="5" t="s">
        <v>217</v>
      </c>
      <c r="F599" s="5" t="str">
        <f t="shared" si="39"/>
        <v>LDS</v>
      </c>
      <c r="G599" s="6"/>
      <c r="H599" s="7" t="str">
        <f t="shared" si="40"/>
        <v>0x0000</v>
      </c>
      <c r="I599" s="7"/>
      <c r="J599" s="5" t="s">
        <v>14</v>
      </c>
      <c r="K599" s="5" t="s">
        <v>230</v>
      </c>
    </row>
    <row r="600" spans="1:11" s="5" customFormat="1" hidden="1" x14ac:dyDescent="0.25">
      <c r="A600" s="1">
        <f t="shared" si="38"/>
        <v>35</v>
      </c>
      <c r="B600" s="5">
        <v>23</v>
      </c>
      <c r="C600" s="5" t="str">
        <f t="shared" si="37"/>
        <v>0x23</v>
      </c>
      <c r="D600" s="5" t="s">
        <v>630</v>
      </c>
      <c r="E600" s="5" t="s">
        <v>217</v>
      </c>
      <c r="F600" s="5" t="str">
        <f t="shared" si="39"/>
        <v>LDT</v>
      </c>
      <c r="G600" s="6"/>
      <c r="H600" s="7" t="str">
        <f t="shared" si="40"/>
        <v>0x0000</v>
      </c>
      <c r="I600" s="7"/>
      <c r="J600" s="5" t="s">
        <v>14</v>
      </c>
      <c r="K600" s="5" t="s">
        <v>230</v>
      </c>
    </row>
    <row r="601" spans="1:11" s="5" customFormat="1" hidden="1" x14ac:dyDescent="0.25">
      <c r="A601" s="1">
        <f t="shared" si="38"/>
        <v>36</v>
      </c>
      <c r="B601" s="5">
        <v>24</v>
      </c>
      <c r="C601" s="5" t="str">
        <f t="shared" si="37"/>
        <v>0x24</v>
      </c>
      <c r="D601" s="5" t="s">
        <v>631</v>
      </c>
      <c r="E601" s="5" t="s">
        <v>217</v>
      </c>
      <c r="F601" s="5" t="str">
        <f t="shared" si="39"/>
        <v>STF</v>
      </c>
      <c r="G601" s="6"/>
      <c r="H601" s="7" t="str">
        <f t="shared" si="40"/>
        <v>0x0000</v>
      </c>
      <c r="I601" s="7"/>
      <c r="J601" s="5" t="s">
        <v>14</v>
      </c>
      <c r="K601" s="5" t="s">
        <v>230</v>
      </c>
    </row>
    <row r="602" spans="1:11" s="5" customFormat="1" hidden="1" x14ac:dyDescent="0.25">
      <c r="A602" s="1">
        <f t="shared" si="38"/>
        <v>37</v>
      </c>
      <c r="B602" s="5">
        <v>25</v>
      </c>
      <c r="C602" s="5" t="str">
        <f t="shared" ref="C602:C628" si="41">"0x"&amp;TEXT(DEC2HEX(A602),"00")</f>
        <v>0x25</v>
      </c>
      <c r="D602" s="5" t="s">
        <v>632</v>
      </c>
      <c r="E602" s="5" t="s">
        <v>217</v>
      </c>
      <c r="F602" s="5" t="str">
        <f t="shared" si="39"/>
        <v>STG</v>
      </c>
      <c r="G602" s="6"/>
      <c r="H602" s="7" t="str">
        <f t="shared" si="40"/>
        <v>0x0000</v>
      </c>
      <c r="I602" s="7"/>
      <c r="J602" s="5" t="s">
        <v>14</v>
      </c>
      <c r="K602" s="5" t="s">
        <v>230</v>
      </c>
    </row>
    <row r="603" spans="1:11" hidden="1" x14ac:dyDescent="0.25">
      <c r="A603" s="1">
        <f t="shared" si="38"/>
        <v>38</v>
      </c>
      <c r="B603">
        <v>26</v>
      </c>
      <c r="C603" t="str">
        <f t="shared" si="41"/>
        <v>0x26</v>
      </c>
      <c r="D603" t="s">
        <v>633</v>
      </c>
      <c r="E603" t="s">
        <v>217</v>
      </c>
      <c r="F603" t="str">
        <f t="shared" si="39"/>
        <v>STS</v>
      </c>
      <c r="H603" s="3" t="str">
        <f t="shared" si="40"/>
        <v>0x0000</v>
      </c>
      <c r="J603" t="s">
        <v>14</v>
      </c>
      <c r="K603" t="s">
        <v>230</v>
      </c>
    </row>
    <row r="604" spans="1:11" s="5" customFormat="1" hidden="1" x14ac:dyDescent="0.25">
      <c r="A604" s="1">
        <f t="shared" si="38"/>
        <v>39</v>
      </c>
      <c r="B604" s="5">
        <v>27</v>
      </c>
      <c r="C604" s="5" t="str">
        <f t="shared" si="41"/>
        <v>0x27</v>
      </c>
      <c r="D604" s="5" t="s">
        <v>634</v>
      </c>
      <c r="E604" s="5" t="s">
        <v>217</v>
      </c>
      <c r="F604" s="5" t="str">
        <f t="shared" si="39"/>
        <v>STT</v>
      </c>
      <c r="G604" s="6"/>
      <c r="H604" s="7" t="str">
        <f t="shared" si="40"/>
        <v>0x0000</v>
      </c>
      <c r="I604" s="7"/>
      <c r="J604" s="5" t="s">
        <v>14</v>
      </c>
      <c r="K604" s="5" t="s">
        <v>230</v>
      </c>
    </row>
    <row r="605" spans="1:11" s="5" customFormat="1" hidden="1" x14ac:dyDescent="0.25">
      <c r="A605" s="1">
        <f t="shared" si="38"/>
        <v>40</v>
      </c>
      <c r="B605" s="5">
        <v>28</v>
      </c>
      <c r="C605" s="5" t="str">
        <f t="shared" si="41"/>
        <v>0x28</v>
      </c>
      <c r="D605" s="5" t="s">
        <v>635</v>
      </c>
      <c r="E605" s="5" t="s">
        <v>217</v>
      </c>
      <c r="F605" s="5" t="str">
        <f t="shared" si="39"/>
        <v>LDL</v>
      </c>
      <c r="G605" s="6"/>
      <c r="H605" s="7" t="str">
        <f t="shared" si="40"/>
        <v>0x0000</v>
      </c>
      <c r="I605" s="7"/>
      <c r="J605" s="5" t="s">
        <v>14</v>
      </c>
      <c r="K605" s="5" t="s">
        <v>230</v>
      </c>
    </row>
    <row r="606" spans="1:11" s="5" customFormat="1" hidden="1" x14ac:dyDescent="0.25">
      <c r="A606" s="1">
        <f t="shared" si="38"/>
        <v>41</v>
      </c>
      <c r="B606" s="5">
        <v>29</v>
      </c>
      <c r="C606" s="5" t="str">
        <f t="shared" si="41"/>
        <v>0x29</v>
      </c>
      <c r="D606" s="5" t="s">
        <v>636</v>
      </c>
      <c r="E606" s="5" t="s">
        <v>217</v>
      </c>
      <c r="F606" s="5" t="str">
        <f t="shared" si="39"/>
        <v>LDQ</v>
      </c>
      <c r="G606" s="6"/>
      <c r="H606" s="7" t="str">
        <f t="shared" si="40"/>
        <v>0x0000</v>
      </c>
      <c r="I606" s="7"/>
      <c r="J606" s="5" t="s">
        <v>14</v>
      </c>
      <c r="K606" s="5" t="s">
        <v>230</v>
      </c>
    </row>
    <row r="607" spans="1:11" s="5" customFormat="1" hidden="1" x14ac:dyDescent="0.25">
      <c r="A607" s="1">
        <f t="shared" si="38"/>
        <v>42</v>
      </c>
      <c r="B607" s="5" t="s">
        <v>637</v>
      </c>
      <c r="C607" s="5" t="str">
        <f t="shared" si="41"/>
        <v>0x2A</v>
      </c>
      <c r="D607" s="5" t="s">
        <v>638</v>
      </c>
      <c r="E607" s="5" t="s">
        <v>217</v>
      </c>
      <c r="F607" s="5" t="str">
        <f t="shared" si="39"/>
        <v>LDL_L</v>
      </c>
      <c r="G607" s="6"/>
      <c r="H607" s="7" t="str">
        <f t="shared" si="40"/>
        <v>0x0000</v>
      </c>
      <c r="I607" s="7"/>
      <c r="J607" s="5" t="s">
        <v>14</v>
      </c>
      <c r="K607" s="5" t="s">
        <v>230</v>
      </c>
    </row>
    <row r="608" spans="1:11" s="5" customFormat="1" hidden="1" x14ac:dyDescent="0.25">
      <c r="A608" s="1">
        <f t="shared" si="38"/>
        <v>43</v>
      </c>
      <c r="B608" s="5" t="s">
        <v>255</v>
      </c>
      <c r="C608" s="5" t="str">
        <f t="shared" si="41"/>
        <v>0x2B</v>
      </c>
      <c r="D608" s="5" t="s">
        <v>639</v>
      </c>
      <c r="E608" s="5" t="s">
        <v>217</v>
      </c>
      <c r="F608" s="5" t="str">
        <f t="shared" si="39"/>
        <v>LDQ_L</v>
      </c>
      <c r="G608" s="6"/>
      <c r="H608" s="7" t="str">
        <f t="shared" si="40"/>
        <v>0x0000</v>
      </c>
      <c r="I608" s="7"/>
      <c r="J608" s="5" t="s">
        <v>14</v>
      </c>
      <c r="K608" s="5" t="s">
        <v>230</v>
      </c>
    </row>
    <row r="609" spans="1:11" s="5" customFormat="1" hidden="1" x14ac:dyDescent="0.25">
      <c r="A609" s="1">
        <f t="shared" si="38"/>
        <v>44</v>
      </c>
      <c r="B609" s="5" t="s">
        <v>640</v>
      </c>
      <c r="C609" s="5" t="str">
        <f t="shared" si="41"/>
        <v>0x2C</v>
      </c>
      <c r="D609" s="5" t="s">
        <v>641</v>
      </c>
      <c r="E609" s="5" t="s">
        <v>217</v>
      </c>
      <c r="F609" s="5" t="str">
        <f t="shared" si="39"/>
        <v>STL</v>
      </c>
      <c r="G609" s="6"/>
      <c r="H609" s="7" t="str">
        <f t="shared" si="40"/>
        <v>0x0000</v>
      </c>
      <c r="I609" s="7"/>
      <c r="J609" s="5" t="s">
        <v>14</v>
      </c>
      <c r="K609" s="5" t="s">
        <v>230</v>
      </c>
    </row>
    <row r="610" spans="1:11" s="5" customFormat="1" hidden="1" x14ac:dyDescent="0.25">
      <c r="A610" s="1">
        <f t="shared" si="38"/>
        <v>45</v>
      </c>
      <c r="B610" s="5" t="s">
        <v>242</v>
      </c>
      <c r="C610" s="5" t="str">
        <f t="shared" si="41"/>
        <v>0x2D</v>
      </c>
      <c r="D610" s="5" t="s">
        <v>642</v>
      </c>
      <c r="E610" s="5" t="s">
        <v>217</v>
      </c>
      <c r="F610" s="5" t="str">
        <f t="shared" si="39"/>
        <v>STQ</v>
      </c>
      <c r="G610" s="6"/>
      <c r="H610" s="7" t="str">
        <f t="shared" si="40"/>
        <v>0x0000</v>
      </c>
      <c r="I610" s="7"/>
      <c r="J610" s="5" t="s">
        <v>14</v>
      </c>
      <c r="K610" s="5" t="s">
        <v>230</v>
      </c>
    </row>
    <row r="611" spans="1:11" s="5" customFormat="1" hidden="1" x14ac:dyDescent="0.25">
      <c r="A611" s="1">
        <f t="shared" si="38"/>
        <v>46</v>
      </c>
      <c r="B611" s="5" t="s">
        <v>643</v>
      </c>
      <c r="C611" s="5" t="str">
        <f t="shared" si="41"/>
        <v>0x2E</v>
      </c>
      <c r="D611" s="5" t="s">
        <v>644</v>
      </c>
      <c r="E611" s="5" t="s">
        <v>217</v>
      </c>
      <c r="F611" s="5" t="str">
        <f t="shared" si="39"/>
        <v>STL_C</v>
      </c>
      <c r="G611" s="6"/>
      <c r="H611" s="7" t="str">
        <f t="shared" si="40"/>
        <v>0x0000</v>
      </c>
      <c r="I611" s="7"/>
      <c r="J611" s="5" t="s">
        <v>14</v>
      </c>
      <c r="K611" s="5" t="s">
        <v>230</v>
      </c>
    </row>
    <row r="612" spans="1:11" s="5" customFormat="1" hidden="1" x14ac:dyDescent="0.25">
      <c r="A612" s="1">
        <f t="shared" si="38"/>
        <v>47</v>
      </c>
      <c r="B612" s="5" t="s">
        <v>645</v>
      </c>
      <c r="C612" s="5" t="str">
        <f t="shared" si="41"/>
        <v>0x2F</v>
      </c>
      <c r="D612" s="5" t="s">
        <v>646</v>
      </c>
      <c r="E612" s="5" t="s">
        <v>217</v>
      </c>
      <c r="F612" s="5" t="str">
        <f t="shared" si="39"/>
        <v>STQ_C</v>
      </c>
      <c r="G612" s="6"/>
      <c r="H612" s="7" t="str">
        <f t="shared" si="40"/>
        <v>0x0000</v>
      </c>
      <c r="I612" s="7"/>
      <c r="J612" s="5" t="s">
        <v>14</v>
      </c>
      <c r="K612" s="5" t="s">
        <v>230</v>
      </c>
    </row>
    <row r="613" spans="1:11" s="5" customFormat="1" hidden="1" x14ac:dyDescent="0.25">
      <c r="A613" s="1">
        <f t="shared" si="38"/>
        <v>48</v>
      </c>
      <c r="B613" s="5">
        <v>30</v>
      </c>
      <c r="C613" s="5" t="str">
        <f t="shared" si="41"/>
        <v>0x30</v>
      </c>
      <c r="D613" s="5" t="s">
        <v>647</v>
      </c>
      <c r="E613" s="5" t="s">
        <v>217</v>
      </c>
      <c r="F613" s="5" t="str">
        <f t="shared" si="39"/>
        <v>BR</v>
      </c>
      <c r="G613" s="6"/>
      <c r="H613" s="7" t="str">
        <f t="shared" si="40"/>
        <v>0x0000</v>
      </c>
      <c r="I613" s="7"/>
      <c r="J613" s="5" t="s">
        <v>14</v>
      </c>
      <c r="K613" s="5" t="s">
        <v>648</v>
      </c>
    </row>
    <row r="614" spans="1:11" hidden="1" x14ac:dyDescent="0.25">
      <c r="A614" s="1">
        <f t="shared" si="38"/>
        <v>49</v>
      </c>
      <c r="B614">
        <v>31</v>
      </c>
      <c r="C614" t="str">
        <f t="shared" si="41"/>
        <v>0x31</v>
      </c>
      <c r="D614" t="s">
        <v>649</v>
      </c>
      <c r="E614" t="s">
        <v>217</v>
      </c>
      <c r="F614" t="str">
        <f t="shared" si="39"/>
        <v>FBEQ</v>
      </c>
      <c r="H614" s="3" t="str">
        <f t="shared" si="40"/>
        <v>0x0000</v>
      </c>
      <c r="J614" t="s">
        <v>14</v>
      </c>
      <c r="K614" t="s">
        <v>648</v>
      </c>
    </row>
    <row r="615" spans="1:11" hidden="1" x14ac:dyDescent="0.25">
      <c r="A615" s="1">
        <f t="shared" si="38"/>
        <v>50</v>
      </c>
      <c r="B615">
        <v>32</v>
      </c>
      <c r="C615" t="str">
        <f t="shared" si="41"/>
        <v>0x32</v>
      </c>
      <c r="D615" t="s">
        <v>650</v>
      </c>
      <c r="E615" t="s">
        <v>217</v>
      </c>
      <c r="F615" t="str">
        <f t="shared" si="39"/>
        <v>FBLT</v>
      </c>
      <c r="H615" s="3" t="str">
        <f t="shared" si="40"/>
        <v>0x0000</v>
      </c>
      <c r="J615" t="s">
        <v>14</v>
      </c>
      <c r="K615" t="s">
        <v>648</v>
      </c>
    </row>
    <row r="616" spans="1:11" hidden="1" x14ac:dyDescent="0.25">
      <c r="A616" s="1">
        <f t="shared" si="38"/>
        <v>51</v>
      </c>
      <c r="B616">
        <v>33</v>
      </c>
      <c r="C616" t="str">
        <f t="shared" si="41"/>
        <v>0x33</v>
      </c>
      <c r="D616" t="s">
        <v>651</v>
      </c>
      <c r="E616" t="s">
        <v>217</v>
      </c>
      <c r="F616" t="str">
        <f t="shared" si="39"/>
        <v>FBLE</v>
      </c>
      <c r="H616" s="3" t="str">
        <f t="shared" si="40"/>
        <v>0x0000</v>
      </c>
      <c r="J616" t="s">
        <v>14</v>
      </c>
      <c r="K616" t="s">
        <v>648</v>
      </c>
    </row>
    <row r="617" spans="1:11" s="5" customFormat="1" hidden="1" x14ac:dyDescent="0.25">
      <c r="A617" s="1">
        <f t="shared" si="38"/>
        <v>52</v>
      </c>
      <c r="B617" s="5">
        <v>34</v>
      </c>
      <c r="C617" s="5" t="str">
        <f t="shared" si="41"/>
        <v>0x34</v>
      </c>
      <c r="D617" s="5" t="s">
        <v>652</v>
      </c>
      <c r="E617" s="5" t="s">
        <v>217</v>
      </c>
      <c r="F617" s="5" t="str">
        <f t="shared" si="39"/>
        <v>BSR</v>
      </c>
      <c r="G617" s="6"/>
      <c r="H617" s="7" t="str">
        <f t="shared" si="40"/>
        <v>0x0000</v>
      </c>
      <c r="I617" s="7"/>
      <c r="J617" s="5" t="s">
        <v>14</v>
      </c>
      <c r="K617" s="5" t="s">
        <v>155</v>
      </c>
    </row>
    <row r="618" spans="1:11" hidden="1" x14ac:dyDescent="0.25">
      <c r="A618" s="1">
        <f t="shared" si="38"/>
        <v>53</v>
      </c>
      <c r="B618">
        <v>35</v>
      </c>
      <c r="C618" t="str">
        <f t="shared" si="41"/>
        <v>0x35</v>
      </c>
      <c r="D618" t="s">
        <v>653</v>
      </c>
      <c r="E618" t="s">
        <v>217</v>
      </c>
      <c r="F618" t="str">
        <f t="shared" si="39"/>
        <v>FBNE</v>
      </c>
      <c r="H618" s="3" t="str">
        <f t="shared" si="40"/>
        <v>0x0000</v>
      </c>
      <c r="J618" t="s">
        <v>14</v>
      </c>
      <c r="K618" t="s">
        <v>648</v>
      </c>
    </row>
    <row r="619" spans="1:11" hidden="1" x14ac:dyDescent="0.25">
      <c r="A619" s="1">
        <f t="shared" si="38"/>
        <v>54</v>
      </c>
      <c r="B619">
        <v>36</v>
      </c>
      <c r="C619" t="str">
        <f t="shared" si="41"/>
        <v>0x36</v>
      </c>
      <c r="D619" t="s">
        <v>654</v>
      </c>
      <c r="E619" t="s">
        <v>217</v>
      </c>
      <c r="F619" t="str">
        <f t="shared" si="39"/>
        <v>FBGE</v>
      </c>
      <c r="H619" s="3" t="str">
        <f t="shared" si="40"/>
        <v>0x0000</v>
      </c>
      <c r="J619" t="s">
        <v>14</v>
      </c>
      <c r="K619" t="s">
        <v>648</v>
      </c>
    </row>
    <row r="620" spans="1:11" hidden="1" x14ac:dyDescent="0.25">
      <c r="A620" s="1">
        <f t="shared" si="38"/>
        <v>55</v>
      </c>
      <c r="B620">
        <v>37</v>
      </c>
      <c r="C620" t="str">
        <f t="shared" si="41"/>
        <v>0x37</v>
      </c>
      <c r="D620" t="s">
        <v>655</v>
      </c>
      <c r="E620" t="s">
        <v>217</v>
      </c>
      <c r="F620" t="str">
        <f t="shared" si="39"/>
        <v>FBGT</v>
      </c>
      <c r="H620" s="3" t="str">
        <f t="shared" si="40"/>
        <v>0x0000</v>
      </c>
      <c r="J620" t="s">
        <v>14</v>
      </c>
      <c r="K620" t="s">
        <v>648</v>
      </c>
    </row>
    <row r="621" spans="1:11" s="5" customFormat="1" hidden="1" x14ac:dyDescent="0.25">
      <c r="A621" s="1">
        <f t="shared" si="38"/>
        <v>56</v>
      </c>
      <c r="B621" s="5">
        <v>38</v>
      </c>
      <c r="C621" s="5" t="str">
        <f t="shared" si="41"/>
        <v>0x38</v>
      </c>
      <c r="D621" s="5" t="s">
        <v>656</v>
      </c>
      <c r="E621" s="5" t="s">
        <v>217</v>
      </c>
      <c r="F621" s="5" t="str">
        <f t="shared" si="39"/>
        <v>BLBC</v>
      </c>
      <c r="G621" s="6"/>
      <c r="H621" s="7" t="str">
        <f t="shared" si="40"/>
        <v>0x0000</v>
      </c>
      <c r="I621" s="7"/>
      <c r="J621" s="5" t="s">
        <v>14</v>
      </c>
      <c r="K621" s="5" t="s">
        <v>648</v>
      </c>
    </row>
    <row r="622" spans="1:11" hidden="1" x14ac:dyDescent="0.25">
      <c r="A622" s="1">
        <f t="shared" si="38"/>
        <v>57</v>
      </c>
      <c r="B622">
        <v>39</v>
      </c>
      <c r="C622" t="str">
        <f t="shared" si="41"/>
        <v>0x39</v>
      </c>
      <c r="D622" t="s">
        <v>657</v>
      </c>
      <c r="E622" t="s">
        <v>217</v>
      </c>
      <c r="F622" t="str">
        <f t="shared" si="39"/>
        <v>BEQ</v>
      </c>
      <c r="H622" s="3" t="str">
        <f t="shared" si="40"/>
        <v>0x0000</v>
      </c>
      <c r="J622" t="s">
        <v>14</v>
      </c>
      <c r="K622" t="s">
        <v>648</v>
      </c>
    </row>
    <row r="623" spans="1:11" s="5" customFormat="1" hidden="1" x14ac:dyDescent="0.25">
      <c r="A623" s="1">
        <f t="shared" si="38"/>
        <v>58</v>
      </c>
      <c r="B623" s="5" t="s">
        <v>658</v>
      </c>
      <c r="C623" s="5" t="str">
        <f t="shared" si="41"/>
        <v>0x3A</v>
      </c>
      <c r="D623" s="5" t="s">
        <v>659</v>
      </c>
      <c r="E623" s="5" t="s">
        <v>217</v>
      </c>
      <c r="F623" s="5" t="str">
        <f t="shared" si="39"/>
        <v>BLT</v>
      </c>
      <c r="G623" s="6"/>
      <c r="H623" s="7" t="str">
        <f t="shared" si="40"/>
        <v>0x0000</v>
      </c>
      <c r="I623" s="7"/>
      <c r="J623" s="5" t="s">
        <v>14</v>
      </c>
      <c r="K623" s="5" t="s">
        <v>648</v>
      </c>
    </row>
    <row r="624" spans="1:11" hidden="1" x14ac:dyDescent="0.25">
      <c r="A624" s="1">
        <f t="shared" si="38"/>
        <v>59</v>
      </c>
      <c r="B624" t="s">
        <v>261</v>
      </c>
      <c r="C624" t="str">
        <f t="shared" si="41"/>
        <v>0x3B</v>
      </c>
      <c r="D624" t="s">
        <v>660</v>
      </c>
      <c r="E624" t="s">
        <v>217</v>
      </c>
      <c r="F624" t="str">
        <f t="shared" si="39"/>
        <v>BLE</v>
      </c>
      <c r="H624" s="3" t="str">
        <f t="shared" si="40"/>
        <v>0x0000</v>
      </c>
      <c r="J624" t="s">
        <v>14</v>
      </c>
      <c r="K624" t="s">
        <v>648</v>
      </c>
    </row>
    <row r="625" spans="1:11" s="5" customFormat="1" hidden="1" x14ac:dyDescent="0.25">
      <c r="A625" s="1">
        <f t="shared" si="38"/>
        <v>60</v>
      </c>
      <c r="B625" s="5" t="s">
        <v>303</v>
      </c>
      <c r="C625" s="5" t="str">
        <f t="shared" si="41"/>
        <v>0x3C</v>
      </c>
      <c r="D625" s="5" t="s">
        <v>661</v>
      </c>
      <c r="E625" s="5" t="s">
        <v>217</v>
      </c>
      <c r="F625" s="5" t="str">
        <f t="shared" si="39"/>
        <v>BLBS</v>
      </c>
      <c r="G625" s="6"/>
      <c r="H625" s="7" t="str">
        <f t="shared" si="40"/>
        <v>0x0000</v>
      </c>
      <c r="I625" s="7"/>
      <c r="J625" s="5" t="s">
        <v>14</v>
      </c>
      <c r="K625" s="5" t="s">
        <v>648</v>
      </c>
    </row>
    <row r="626" spans="1:11" s="5" customFormat="1" hidden="1" x14ac:dyDescent="0.25">
      <c r="A626" s="1">
        <f t="shared" si="38"/>
        <v>61</v>
      </c>
      <c r="B626" s="5" t="s">
        <v>248</v>
      </c>
      <c r="C626" s="5" t="str">
        <f t="shared" si="41"/>
        <v>0x3D</v>
      </c>
      <c r="D626" s="5" t="s">
        <v>662</v>
      </c>
      <c r="E626" s="5" t="s">
        <v>217</v>
      </c>
      <c r="F626" s="5" t="str">
        <f t="shared" si="39"/>
        <v>BNE</v>
      </c>
      <c r="G626" s="6"/>
      <c r="H626" s="7" t="str">
        <f t="shared" si="40"/>
        <v>0x0000</v>
      </c>
      <c r="I626" s="7"/>
      <c r="J626" s="5" t="s">
        <v>14</v>
      </c>
      <c r="K626" s="5" t="s">
        <v>648</v>
      </c>
    </row>
    <row r="627" spans="1:11" s="5" customFormat="1" hidden="1" x14ac:dyDescent="0.25">
      <c r="A627" s="1">
        <f t="shared" si="38"/>
        <v>62</v>
      </c>
      <c r="B627" s="5" t="s">
        <v>663</v>
      </c>
      <c r="C627" s="5" t="str">
        <f t="shared" si="41"/>
        <v>0x3E</v>
      </c>
      <c r="D627" s="5" t="s">
        <v>664</v>
      </c>
      <c r="E627" s="5" t="s">
        <v>217</v>
      </c>
      <c r="F627" s="5" t="str">
        <f t="shared" si="39"/>
        <v>BGE</v>
      </c>
      <c r="G627" s="6"/>
      <c r="H627" s="7" t="str">
        <f t="shared" si="40"/>
        <v>0x0000</v>
      </c>
      <c r="I627" s="7"/>
      <c r="J627" s="5" t="s">
        <v>14</v>
      </c>
      <c r="K627" s="5" t="s">
        <v>648</v>
      </c>
    </row>
    <row r="628" spans="1:11" s="5" customFormat="1" hidden="1" x14ac:dyDescent="0.25">
      <c r="A628" s="1">
        <f t="shared" si="38"/>
        <v>63</v>
      </c>
      <c r="B628" s="5" t="s">
        <v>665</v>
      </c>
      <c r="C628" s="5" t="str">
        <f t="shared" si="41"/>
        <v>0x3F</v>
      </c>
      <c r="D628" s="5" t="s">
        <v>666</v>
      </c>
      <c r="E628" s="5" t="s">
        <v>217</v>
      </c>
      <c r="F628" s="5" t="str">
        <f t="shared" si="39"/>
        <v>BGT</v>
      </c>
      <c r="G628" s="6"/>
      <c r="H628" s="7" t="str">
        <f t="shared" si="40"/>
        <v>0x0000</v>
      </c>
      <c r="I628" s="7"/>
      <c r="J628" s="5" t="s">
        <v>14</v>
      </c>
      <c r="K628" s="5" t="s">
        <v>648</v>
      </c>
    </row>
    <row r="629" spans="1:11" s="5" customFormat="1" hidden="1" x14ac:dyDescent="0.25">
      <c r="A629" s="1">
        <v>22</v>
      </c>
      <c r="B629" s="5">
        <v>16</v>
      </c>
      <c r="C629" s="5" t="s">
        <v>670</v>
      </c>
      <c r="D629" s="5" t="s">
        <v>501</v>
      </c>
      <c r="E629" s="5" t="s">
        <v>520</v>
      </c>
      <c r="F629" s="5" t="str">
        <f t="shared" si="39"/>
        <v>DIVS_D</v>
      </c>
      <c r="G629" s="6" t="s">
        <v>671</v>
      </c>
      <c r="H629" s="7" t="str">
        <f t="shared" si="40"/>
        <v>0x00C3</v>
      </c>
      <c r="I629" s="7"/>
      <c r="J629" s="7" t="s">
        <v>320</v>
      </c>
      <c r="K629" s="7" t="s">
        <v>240</v>
      </c>
    </row>
    <row r="630" spans="1:11" hidden="1" x14ac:dyDescent="0.25">
      <c r="A630" s="1">
        <v>22</v>
      </c>
      <c r="B630">
        <v>16</v>
      </c>
      <c r="C630" t="str">
        <f>"0x"&amp;TEXT(DEC2HEX(A630),"00")</f>
        <v>0x16</v>
      </c>
      <c r="D630" t="s">
        <v>508</v>
      </c>
      <c r="F630" t="str">
        <f t="shared" si="39"/>
        <v>CVTTS</v>
      </c>
      <c r="G630" s="2" t="s">
        <v>415</v>
      </c>
      <c r="H630" s="3" t="str">
        <f t="shared" si="40"/>
        <v>0x00AC</v>
      </c>
      <c r="J630" t="s">
        <v>320</v>
      </c>
      <c r="K630" t="s">
        <v>240</v>
      </c>
    </row>
    <row r="631" spans="1:11" s="5" customFormat="1" hidden="1" x14ac:dyDescent="0.25">
      <c r="A631" s="1"/>
      <c r="C631" s="5" t="s">
        <v>724</v>
      </c>
      <c r="D631" s="5" t="s">
        <v>172</v>
      </c>
      <c r="F631" s="5" t="s">
        <v>172</v>
      </c>
      <c r="G631" s="6" t="s">
        <v>723</v>
      </c>
      <c r="H631" s="7" t="str">
        <f t="shared" si="40"/>
        <v>0x00A6</v>
      </c>
      <c r="I631" s="7"/>
      <c r="J631" s="5" t="s">
        <v>14</v>
      </c>
      <c r="K631" s="5" t="s">
        <v>11</v>
      </c>
    </row>
  </sheetData>
  <autoFilter ref="A1:H631" xr:uid="{92135E4D-5AFD-474D-A534-E182B855D935}">
    <filterColumn colId="5">
      <filters>
        <filter val="SUBF"/>
        <filter val="SUBF_IC"/>
        <filter val="SUBF_IS"/>
        <filter val="SUBF_SC"/>
        <filter val="SUBF_SU"/>
        <filter val="SUBF_SUC"/>
        <filter val="SUBF_U"/>
        <filter val="SUBF_UC"/>
      </filters>
    </filterColumn>
  </autoFilter>
  <sortState xmlns:xlrd2="http://schemas.microsoft.com/office/spreadsheetml/2017/richdata2" ref="B218:K630">
    <sortCondition ref="E2:E6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Peer</dc:creator>
  <cp:lastModifiedBy>Tim Peer</cp:lastModifiedBy>
  <dcterms:created xsi:type="dcterms:W3CDTF">2026-01-29T19:15:17Z</dcterms:created>
  <dcterms:modified xsi:type="dcterms:W3CDTF">2026-02-07T20:15:01Z</dcterms:modified>
</cp:coreProperties>
</file>